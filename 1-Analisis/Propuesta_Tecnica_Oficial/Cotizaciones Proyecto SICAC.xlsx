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User\Documents\SENA Jei\Trimestre 2\Proyecto\ADSO 2\Propuesta Técnica\"/>
    </mc:Choice>
  </mc:AlternateContent>
  <xr:revisionPtr revIDLastSave="0" documentId="13_ncr:9_{9C94CB9A-6703-48C8-A83C-C88C0351EE02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Recursos Humanos" sheetId="1" r:id="rId1"/>
    <sheet name="Desarrollo Actual" sheetId="2" r:id="rId2"/>
    <sheet name="Soporte y Mantenimiento" sheetId="3" r:id="rId3"/>
    <sheet name="Administración y Documentación" sheetId="4" r:id="rId4"/>
    <sheet name="Recursos Humano (Día)" sheetId="5" r:id="rId5"/>
    <sheet name="Servidores Físicos" sheetId="6" r:id="rId6"/>
    <sheet name="Servidores Web - Hosting" sheetId="7" r:id="rId7"/>
    <sheet name="Equipo Desarrolladores" sheetId="8" r:id="rId8"/>
    <sheet name="Equipos Consultorio" sheetId="9" r:id="rId9"/>
    <sheet name="Cotización Total" sheetId="10" r:id="rId10"/>
  </sheets>
  <calcPr calcId="191029"/>
  <extLst>
    <ext uri="GoogleSheetsCustomDataVersion2">
      <go:sheetsCustomData xmlns:go="http://customooxmlschemas.google.com/" r:id="rId14" roundtripDataChecksum="mnwsSiJiPTXkdjORCVJ0is5AU91LcT3DgVfCTZw7b08="/>
    </ext>
  </extLst>
</workbook>
</file>

<file path=xl/calcChain.xml><?xml version="1.0" encoding="utf-8"?>
<calcChain xmlns="http://schemas.openxmlformats.org/spreadsheetml/2006/main">
  <c r="F4" i="6" l="1"/>
  <c r="I6" i="9"/>
  <c r="I5" i="9"/>
  <c r="I4" i="9"/>
  <c r="I6" i="8"/>
  <c r="J6" i="8" s="1"/>
  <c r="I5" i="8"/>
  <c r="J5" i="8" s="1"/>
  <c r="I4" i="8"/>
  <c r="H8" i="7"/>
  <c r="C8" i="7"/>
  <c r="E7" i="10" s="1"/>
  <c r="L10" i="6"/>
  <c r="D10" i="6"/>
  <c r="N9" i="6"/>
  <c r="F9" i="6"/>
  <c r="N8" i="6"/>
  <c r="F8" i="6"/>
  <c r="N7" i="6"/>
  <c r="F7" i="6"/>
  <c r="N6" i="6"/>
  <c r="F6" i="6"/>
  <c r="N5" i="6"/>
  <c r="F5" i="6"/>
  <c r="N4" i="6"/>
  <c r="N3" i="6"/>
  <c r="N10" i="6" s="1"/>
  <c r="F3" i="6"/>
  <c r="F10" i="6" s="1"/>
  <c r="B7" i="10" s="1"/>
  <c r="B5" i="4"/>
  <c r="C6" i="3"/>
  <c r="D5" i="3"/>
  <c r="E5" i="3" s="1"/>
  <c r="D4" i="3"/>
  <c r="E4" i="3" s="1"/>
  <c r="D3" i="3"/>
  <c r="F8" i="2"/>
  <c r="B8" i="2"/>
  <c r="E7" i="2"/>
  <c r="G7" i="2" s="1"/>
  <c r="D7" i="2"/>
  <c r="E6" i="2"/>
  <c r="G6" i="2" s="1"/>
  <c r="D6" i="2"/>
  <c r="E5" i="2"/>
  <c r="G5" i="2" s="1"/>
  <c r="D5" i="2"/>
  <c r="E4" i="2"/>
  <c r="G4" i="2" s="1"/>
  <c r="D4" i="2"/>
  <c r="E3" i="2"/>
  <c r="D3" i="2"/>
  <c r="D8" i="2" s="1"/>
  <c r="B12" i="1"/>
  <c r="C11" i="1"/>
  <c r="C10" i="1"/>
  <c r="C9" i="1"/>
  <c r="C8" i="1"/>
  <c r="C7" i="1"/>
  <c r="C6" i="1"/>
  <c r="C5" i="1"/>
  <c r="C4" i="1"/>
  <c r="C3" i="1"/>
  <c r="B3" i="5" l="1"/>
  <c r="C12" i="1"/>
  <c r="B12" i="5" s="1"/>
  <c r="D3" i="1"/>
  <c r="B4" i="5"/>
  <c r="D4" i="1"/>
  <c r="B5" i="5"/>
  <c r="D5" i="1"/>
  <c r="B6" i="5"/>
  <c r="D6" i="1"/>
  <c r="B7" i="5"/>
  <c r="D7" i="1"/>
  <c r="B8" i="5"/>
  <c r="D8" i="1"/>
  <c r="B9" i="5"/>
  <c r="D9" i="1"/>
  <c r="B10" i="5"/>
  <c r="D10" i="1"/>
  <c r="B11" i="5"/>
  <c r="D11" i="1"/>
  <c r="E3" i="10"/>
  <c r="B3" i="10"/>
  <c r="E8" i="2"/>
  <c r="G3" i="2"/>
  <c r="G8" i="2" s="1"/>
  <c r="D6" i="3"/>
  <c r="E3" i="3"/>
  <c r="E6" i="3" s="1"/>
  <c r="E6" i="10"/>
  <c r="B6" i="10"/>
  <c r="E8" i="10"/>
  <c r="B8" i="10"/>
  <c r="J4" i="8"/>
  <c r="K4" i="9"/>
  <c r="J4" i="9"/>
  <c r="K5" i="9"/>
  <c r="J5" i="9"/>
  <c r="K6" i="9"/>
  <c r="J6" i="9"/>
  <c r="E9" i="10" l="1"/>
  <c r="B9" i="10"/>
  <c r="E5" i="10"/>
  <c r="B5" i="10"/>
  <c r="E4" i="10"/>
  <c r="B4" i="10"/>
  <c r="B10" i="10"/>
  <c r="E10" i="10"/>
  <c r="D12" i="1"/>
</calcChain>
</file>

<file path=xl/sharedStrings.xml><?xml version="1.0" encoding="utf-8"?>
<sst xmlns="http://schemas.openxmlformats.org/spreadsheetml/2006/main" count="230" uniqueCount="144">
  <si>
    <t>Costos de Recursos Humanos (Salario Actual)</t>
  </si>
  <si>
    <t>Recurso Humano</t>
  </si>
  <si>
    <t>Salario Mensual Estimado (COP)</t>
  </si>
  <si>
    <t>Salario Diario Aprox. (COP)</t>
  </si>
  <si>
    <t>Salario Hora</t>
  </si>
  <si>
    <t>Líder de Proyecto</t>
  </si>
  <si>
    <t>Diseñador Software (UI/UX)</t>
  </si>
  <si>
    <t>Desarrollador Backend</t>
  </si>
  <si>
    <t>Analista de Software</t>
  </si>
  <si>
    <t>Documentador Técnico</t>
  </si>
  <si>
    <t>Administrador de BBDD</t>
  </si>
  <si>
    <t>Ingeniero de Pruebas</t>
  </si>
  <si>
    <t>Desarrollador Fronted</t>
  </si>
  <si>
    <t>Arquitecto de Software</t>
  </si>
  <si>
    <t>Costo Total</t>
  </si>
  <si>
    <t>Costos de Desarrollo (Hasta el Momento)</t>
  </si>
  <si>
    <t>Actividad</t>
  </si>
  <si>
    <t>Estimación en Días</t>
  </si>
  <si>
    <t>Horas Trabajadas x Día</t>
  </si>
  <si>
    <t>Trabajo en Horas Estimadas</t>
  </si>
  <si>
    <t>Costo por Día (COP)</t>
  </si>
  <si>
    <t>Costo por Hora (COP)</t>
  </si>
  <si>
    <t>Costo Estimado (COP)</t>
  </si>
  <si>
    <t>BPMN (Modelado de Procesos de Negocio)</t>
  </si>
  <si>
    <t>Desarrollo Casos de Uso (Diagrama)</t>
  </si>
  <si>
    <t>Desarrollo Casos de Uso Extendido(Documentación)</t>
  </si>
  <si>
    <t>Desarrollo Mockups</t>
  </si>
  <si>
    <t>Desarrollo Modelo de Entidad-Relación (MER)</t>
  </si>
  <si>
    <t>Costos de Soporte y Mantenimiento (Semestral)</t>
  </si>
  <si>
    <t>Incluye</t>
  </si>
  <si>
    <t>Estimación Plan Mensual (COP)</t>
  </si>
  <si>
    <t>Estimación Plan Semestral (COP)</t>
  </si>
  <si>
    <t xml:space="preserve">Con Descuento de 10% si es Plan Semestral </t>
  </si>
  <si>
    <t>Soporte Técnico</t>
  </si>
  <si>
    <t>Atención y correción de fallas
Backups del sistema
Acompañamiento remoto
SLA (Acuerdo de Nivel de Servicio)
Asistencia en configuración o ajustes menores</t>
  </si>
  <si>
    <t>Actualizaciones del Sistema</t>
  </si>
  <si>
    <t>Aplicación de parches
Actualización de servicios
Corrección de vulnerabilidades de seguridad
Revisión y optimización de bases de datos</t>
  </si>
  <si>
    <t>Monitoreo del Sistema</t>
  </si>
  <si>
    <t>Monitoreo de base de datos
Revisión de errores en tiempo real o programados
Monitoreo de Seguridad</t>
  </si>
  <si>
    <t>Costos Administrativos y de Documentación</t>
  </si>
  <si>
    <t>Recurso</t>
  </si>
  <si>
    <t>Documentación del sistema</t>
  </si>
  <si>
    <t>Manual de usuario</t>
  </si>
  <si>
    <t>Costos de Recursos Humanos (Por Día)</t>
  </si>
  <si>
    <t>Fuente para Justificar Salario</t>
  </si>
  <si>
    <t>https://co.indeed.com/career/l%C3%ADder-de-proyectos/salaries?utm_source=chatgpt.com</t>
  </si>
  <si>
    <t>https://image.email.page.com/lib/fe3711717564047b761d70/m/1/3b1b65df-f6f3-4ed3-8d44-fc82a34446d1.pdf?utm_source=chatgpt.com</t>
  </si>
  <si>
    <t>https://www.glassdoor.com.mx/Sueldos/colombia-technical-writer-sueldo-SRCH_IL.0%2C8_IN54_KO9%2C25.htm?utm_source=chatgpt.com</t>
  </si>
  <si>
    <t>https://www.magneto365.com/co/cargos/informatica-tecnologia-sistemas/arquitecto-software?utm_source=chatgpt.com</t>
  </si>
  <si>
    <t>Costos de Servidor Físico - 1era Opción</t>
  </si>
  <si>
    <t>Costos de Servidor Físico - 2nda Opción</t>
  </si>
  <si>
    <t>Producto / Servicio</t>
  </si>
  <si>
    <t>Descripción</t>
  </si>
  <si>
    <t>Cantidad</t>
  </si>
  <si>
    <t>Valor  Unitario Cotizado (COP)</t>
  </si>
  <si>
    <t>Subtotal (COP)</t>
  </si>
  <si>
    <t>Servidor Lenovo ThinkSystem ST45 V3 con AMD EPYC 4124P</t>
  </si>
  <si>
    <t>Cuenta con un potente procesador AMD EPYC 4124P de 4 núcleos, 16 GB de RAM y un disco duro de 2 TB. Ideal para pequeñas y medianas empresas que requieren rendimiento y fiabilidad en sus operaciones</t>
  </si>
  <si>
    <t>Servidor Dell PowerEdge T160</t>
  </si>
  <si>
    <t>Servidor de torre robusto, diseñado para ofrecer un alto rendimiento con capacidad para hasta 3 discos duros de 3.5 pulgadas. Equipado con un procesador Intel Xeon Performance 6315P de 6 núcleos, 16GB de memoria DDR5 ECC, y una gestión avanzada con iDRAC9 Basic 15G</t>
  </si>
  <si>
    <t>Gabinete Rack De Piso 24ru 120x60x60</t>
  </si>
  <si>
    <t>Armario o estructura metálica diseñada para alojar  y montar servidores, ups y unidades de almacenamiento de manera organizada, segura y estandarizada.</t>
  </si>
  <si>
    <t>(PSU) Fuente de poder Lenovo Thinksystem 550w Platinium 7n67a00882</t>
  </si>
  <si>
    <t>Dispositivo que suministra energía eléctrica a todos los componentes del equipo. Crucial para el correcto funcionamiento en servidores y racks</t>
  </si>
  <si>
    <t>(PSU) Unidad de fuente de alimentación original Dell 750 W servidor Poweredge</t>
  </si>
  <si>
    <t>(UPS) APC - BR1500MS2 - Backup UPS Pro 1500 VA Line Interactive Tower - 10 tomas de corriente</t>
  </si>
  <si>
    <t>Sistema de Alimentación Ininterrumpida que suministra energía eléctrica a equipos electrónicos cuando falla la corriente eléctrica</t>
  </si>
  <si>
    <t>(UPS) Apc Pro 1500va 2p Usb Avr 900w 120v Br1500m2-lm Negro</t>
  </si>
  <si>
    <t>Instalación físca en sala de servidores (espacio + cableado + UPS + server + PSU)</t>
  </si>
  <si>
    <t>Proceso de poner en funcionamiento físico y lógico un servidor dentro de un rack o sala de servidores, asegurando que todo el hardware y software funcione correctamente</t>
  </si>
  <si>
    <t>Windows server 2019 (Edición Standard)</t>
  </si>
  <si>
    <t>Software que gestiona los recursos de un servidor y permite que varios usuarios o dispositivos accedan a ellos de forma controlada y segura</t>
  </si>
  <si>
    <t>Configuración inicial, backup y pruebas</t>
  </si>
  <si>
    <t>Es todo lo que se hace después de montar físicamente el servidor y conectarlo a la red y a la electricidad, para que funcione correctamente</t>
  </si>
  <si>
    <t>Costos de Servidor Web - 1era Opción</t>
  </si>
  <si>
    <t>Costos de Servidor Web - 2nda Opción</t>
  </si>
  <si>
    <t>Concepto</t>
  </si>
  <si>
    <t>Detalle</t>
  </si>
  <si>
    <t>Valor Anual Cotizado (COP)</t>
  </si>
  <si>
    <t>Hosting en Colombia (Plan H1)</t>
  </si>
  <si>
    <t xml:space="preserve">10 GB Espacio SSD NVMe
 500 GB de Tráfico / mes
 2 CPU / Garantizado
 4 GB de memoria RAM
 IPv4 + IPv6 activado
 10 Cuentas E-mail
 2 Bases de datos
 1 Dominio permitido
 WordPress / Joomla / Otros
 LiteSpeed + LSCache
 Seguridad Imunify360
 Constructor de sitios Pro
 Copias de seguridad </t>
  </si>
  <si>
    <t>Colombia Cloud (Plan Básico)
Renovación: $139.900</t>
  </si>
  <si>
    <t xml:space="preserve">Espacio de almacenamiento: 10 GB NVMe Ultra. 
Tráfico mensual permitido: 1 TB / mes. 
Memoria RAM: 4 GB DDR5. 
CPU: 2 vCPU, con procesador AMD Epyc. 
Cuentas de correo: 20 cuentas. 
Bases de datos: 8 bases de datos. 
Copias de seguridad: incluidas. 
Webserver: LiteSpeed + LSCache para acelerar la web. 
Seguridad: Incluye “Antihack Imunify360” y protección DDoS. 
Aplicaciones: Soporta WordPress, Joomla y más de 200 apps. 
Staging (entorno de prueba): incluido. 
No incluye acceso SSH en este plan. </t>
  </si>
  <si>
    <t>Dominio incluido</t>
  </si>
  <si>
    <t>1 Dominio Permitido (Viene con el plan)</t>
  </si>
  <si>
    <t>1 Sitio Web Permitido (Viene con el plan)</t>
  </si>
  <si>
    <t>Certificado SSL</t>
  </si>
  <si>
    <t>Gratis con el plan (https://)</t>
  </si>
  <si>
    <t>Incluido en el plan</t>
  </si>
  <si>
    <t>Soporte técnico</t>
  </si>
  <si>
    <t>24/7 en español</t>
  </si>
  <si>
    <t>Duración</t>
  </si>
  <si>
    <t>12 Meses</t>
  </si>
  <si>
    <t>Costos Equipo Desarrolladores</t>
  </si>
  <si>
    <t>Equipo</t>
  </si>
  <si>
    <t>Procesador</t>
  </si>
  <si>
    <t>Especificaciones</t>
  </si>
  <si>
    <t>Proveedores y Precios</t>
  </si>
  <si>
    <t>Recomendación</t>
  </si>
  <si>
    <t>Falabella</t>
  </si>
  <si>
    <t>Mercado Libre</t>
  </si>
  <si>
    <t>Éxito</t>
  </si>
  <si>
    <t>Precio</t>
  </si>
  <si>
    <t>Proveedor</t>
  </si>
  <si>
    <t>LENOVO 82YX003CLM</t>
  </si>
  <si>
    <t>AMD Ryzen™ 7 7730U</t>
  </si>
  <si>
    <t>Portátil
SSD 1 TB de Almacenamiento
24 GB de Memoria RAM
Anti Glare, FHD
1 Año de Garantía
Conexión Ethernet, HDMI, USB, USB-C
1920x1080 de Resolución de Pantalla
Tarjeta Gráfica Integrada</t>
  </si>
  <si>
    <t>LENOVO THINKCENTRE NEO 50A 24 GEN 5</t>
  </si>
  <si>
    <t>Intel® Core™ i7-13620H</t>
  </si>
  <si>
    <t>All in one
SSD 1 TB de Almacenamiento
16 GB de Memoria RAM
FHD, IPS
1 Año de Garantía
Conexión Bluetooth, Ethernet, HDMI, USB, Wifi
1920x1080 de Resolución de Pantalla
Tarjeta Gráfica Integrada</t>
  </si>
  <si>
    <t>HP 15-FD0006LA</t>
  </si>
  <si>
    <t>Intel® Core™ I7-1355U</t>
  </si>
  <si>
    <t>Portátil
SSD 1 TB de Almacenamiento
12 GB de Memoria RAM
FHD
1 Año de Garantía
Conexión Bluetooth, Wifi
1920x1080 de Resolución de Pantalla
Tarjeta Gráfica Intel IRIS Xe GRAPHICS</t>
  </si>
  <si>
    <t>Costos Equipos Consultorio</t>
  </si>
  <si>
    <t>Subtotal</t>
  </si>
  <si>
    <t>Primera Cotización</t>
  </si>
  <si>
    <t>Segunda Cotización</t>
  </si>
  <si>
    <t>Categoría</t>
  </si>
  <si>
    <t>Valor Estimado (COP)</t>
  </si>
  <si>
    <t>Recursos Humanos (Mensual)</t>
  </si>
  <si>
    <t>Desarrollo Actual</t>
  </si>
  <si>
    <t>Soporte y Mantenimiento (Semestral)</t>
  </si>
  <si>
    <t>Administración y Documentación</t>
  </si>
  <si>
    <t>Servidor Físico</t>
  </si>
  <si>
    <t>Servidor Web - Hosting</t>
  </si>
  <si>
    <t>Equipo Desarrolladores</t>
  </si>
  <si>
    <t>Equipos Consultorio</t>
  </si>
  <si>
    <t>Total Estimado del Proyecto:</t>
  </si>
  <si>
    <t>Tiempo de Desarrollo</t>
  </si>
  <si>
    <t>21 meses</t>
  </si>
  <si>
    <t>Metodología</t>
  </si>
  <si>
    <t>Muestra Visual</t>
  </si>
  <si>
    <t>Scrum</t>
  </si>
  <si>
    <t>Marco de Trabajo para el Desarrollo</t>
  </si>
  <si>
    <t>Elementos del Proceso</t>
  </si>
  <si>
    <t>Para el desarrollo del software se utilizará la metodología Scrum, un marco ágil que permite gestionar el proyecto de forma iterativa e incremental, garantizando flexibilidad, transparencia y entregables continuos de valor</t>
  </si>
  <si>
    <t>Beneficios</t>
  </si>
  <si>
    <t>Sprints: Ciclos de desarrollo (según acuerdo con el cliente). En donde se planifican, desarrollan y entregan funcionalidades completas y probadas</t>
  </si>
  <si>
    <t>Product Backlog: Lista priorizada de requerimientos del proyecto</t>
  </si>
  <si>
    <t>Sprint Retrospective: Sesión interna del equipo para identificar mejoras en el proceso antes del siguiente sprint</t>
  </si>
  <si>
    <t>Mayor capacidad de adaptación a cambios</t>
  </si>
  <si>
    <t>Entregables frecuentes</t>
  </si>
  <si>
    <t>Comunicación constante entre el equipo y el cliente</t>
  </si>
  <si>
    <t>Mayor calidad del producto final gracias a revisiones continuas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</si>
</sst>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&quot;$&quot;\ #,##0;[Red]\-&quot;$&quot;\ #,##0"/>
    <numFmt numFmtId="165" formatCode="&quot;$&quot;#,##0"/>
    <numFmt numFmtId="166" formatCode="&quot;$&quot;#,##0.00"/>
  </numFmts>
  <fonts count="14">
    <font>
      <sz val="11"/>
      <color rgb="FF000000"/>
      <name val="Calibri"/>
      <scheme val="minor"/>
    </font>
    <font>
      <sz val="11"/>
      <color theme="1"/>
      <name val="Calibri"/>
    </font>
    <font>
      <u/>
      <sz val="11"/>
      <color theme="10"/>
      <name val="Calibri"/>
    </font>
    <font>
      <u/>
      <sz val="11"/>
      <color rgb="FF0000FF"/>
      <name val="Calibri"/>
    </font>
    <font>
      <u/>
      <sz val="11"/>
      <color theme="10"/>
      <name val="Calibri"/>
    </font>
    <font>
      <u/>
      <sz val="11"/>
      <color rgb="FF0000FF"/>
      <name val="Calibri"/>
    </font>
    <font>
      <sz val="11"/>
      <name val="Calibri"/>
    </font>
    <font>
      <sz val="11"/>
      <color theme="0"/>
      <name val="Calibri"/>
    </font>
    <font>
      <sz val="11"/>
      <color rgb="FF006100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0"/>
      <name val="Calibri"/>
      <family val="2"/>
    </font>
    <font>
      <sz val="16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AEEF3"/>
        <bgColor rgb="FFDAEEF3"/>
      </patternFill>
    </fill>
    <fill>
      <patternFill patternType="solid">
        <fgColor theme="8"/>
        <bgColor theme="8"/>
      </patternFill>
    </fill>
    <fill>
      <patternFill patternType="solid">
        <fgColor rgb="FFC6EFCE"/>
        <bgColor rgb="FFC6EFCE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indexed="64"/>
      </patternFill>
    </fill>
  </fills>
  <borders count="23">
    <border>
      <left/>
      <right/>
      <top/>
      <bottom/>
      <diagonal/>
    </border>
    <border>
      <left/>
      <right style="thin">
        <color theme="8"/>
      </right>
      <top/>
      <bottom style="thin">
        <color theme="8"/>
      </bottom>
      <diagonal/>
    </border>
    <border>
      <left style="thin">
        <color theme="8"/>
      </left>
      <right style="thin">
        <color theme="8"/>
      </right>
      <top/>
      <bottom style="thin">
        <color theme="8"/>
      </bottom>
      <diagonal/>
    </border>
    <border>
      <left style="thin">
        <color theme="8"/>
      </left>
      <right/>
      <top/>
      <bottom style="thin">
        <color theme="8"/>
      </bottom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 style="thin">
        <color theme="8"/>
      </right>
      <top style="thin">
        <color theme="8"/>
      </top>
      <bottom/>
      <diagonal/>
    </border>
    <border>
      <left style="thin">
        <color theme="8"/>
      </left>
      <right style="thin">
        <color theme="8"/>
      </right>
      <top style="thin">
        <color theme="8"/>
      </top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/>
      <bottom style="thin">
        <color theme="8"/>
      </bottom>
      <diagonal/>
    </border>
    <border>
      <left/>
      <right/>
      <top style="thin">
        <color theme="8"/>
      </top>
      <bottom style="thin">
        <color theme="8"/>
      </bottom>
      <diagonal/>
    </border>
    <border>
      <left style="thin">
        <color theme="4"/>
      </left>
      <right style="thin">
        <color rgb="FFFFFFFF"/>
      </right>
      <top style="thin">
        <color theme="4"/>
      </top>
      <bottom style="thin">
        <color theme="4"/>
      </bottom>
      <diagonal/>
    </border>
    <border>
      <left style="thin">
        <color rgb="FFFFFFFF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/>
      <bottom style="thin">
        <color theme="4"/>
      </bottom>
      <diagonal/>
    </border>
    <border>
      <left style="thin">
        <color rgb="FFFFFFFF"/>
      </left>
      <right/>
      <top style="thin">
        <color theme="4"/>
      </top>
      <bottom/>
      <diagonal/>
    </border>
    <border>
      <left style="thin">
        <color rgb="FFFFFFFF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0"/>
      </left>
      <right style="thin">
        <color theme="4"/>
      </right>
      <top style="thin">
        <color theme="4"/>
      </top>
      <bottom/>
      <diagonal/>
    </border>
    <border>
      <left style="thin">
        <color theme="0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164" fontId="1" fillId="0" borderId="5" xfId="0" applyNumberFormat="1" applyFont="1" applyBorder="1" applyAlignment="1">
      <alignment vertical="center"/>
    </xf>
    <xf numFmtId="164" fontId="1" fillId="0" borderId="6" xfId="0" applyNumberFormat="1" applyFont="1" applyBorder="1" applyAlignment="1">
      <alignment vertical="center"/>
    </xf>
    <xf numFmtId="164" fontId="1" fillId="0" borderId="5" xfId="0" applyNumberFormat="1" applyFont="1" applyBorder="1" applyAlignment="1">
      <alignment vertical="center" wrapText="1"/>
    </xf>
    <xf numFmtId="0" fontId="1" fillId="2" borderId="5" xfId="0" applyFont="1" applyFill="1" applyBorder="1" applyAlignment="1">
      <alignment vertical="center"/>
    </xf>
    <xf numFmtId="164" fontId="1" fillId="2" borderId="5" xfId="0" applyNumberFormat="1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/>
    </xf>
    <xf numFmtId="165" fontId="1" fillId="0" borderId="5" xfId="0" applyNumberFormat="1" applyFont="1" applyBorder="1" applyAlignment="1">
      <alignment vertical="center"/>
    </xf>
    <xf numFmtId="165" fontId="1" fillId="0" borderId="6" xfId="0" applyNumberFormat="1" applyFont="1" applyBorder="1" applyAlignment="1">
      <alignment vertical="center"/>
    </xf>
    <xf numFmtId="165" fontId="1" fillId="2" borderId="5" xfId="0" applyNumberFormat="1" applyFont="1" applyFill="1" applyBorder="1" applyAlignment="1">
      <alignment vertical="center"/>
    </xf>
    <xf numFmtId="0" fontId="1" fillId="0" borderId="0" xfId="0" applyFont="1"/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/>
    </xf>
    <xf numFmtId="165" fontId="1" fillId="0" borderId="8" xfId="0" applyNumberFormat="1" applyFont="1" applyBorder="1" applyAlignment="1">
      <alignment vertical="center"/>
    </xf>
    <xf numFmtId="0" fontId="4" fillId="0" borderId="9" xfId="0" applyFont="1" applyBorder="1" applyAlignment="1">
      <alignment vertical="center" wrapText="1"/>
    </xf>
    <xf numFmtId="0" fontId="5" fillId="2" borderId="5" xfId="0" applyFont="1" applyFill="1" applyBorder="1" applyAlignment="1">
      <alignment vertical="center" wrapText="1"/>
    </xf>
    <xf numFmtId="0" fontId="1" fillId="0" borderId="5" xfId="0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right" vertical="center"/>
    </xf>
    <xf numFmtId="0" fontId="1" fillId="0" borderId="4" xfId="0" applyFont="1" applyBorder="1" applyAlignment="1">
      <alignment horizontal="left" vertical="center" wrapText="1"/>
    </xf>
    <xf numFmtId="165" fontId="1" fillId="0" borderId="6" xfId="0" applyNumberFormat="1" applyFont="1" applyBorder="1" applyAlignment="1">
      <alignment horizontal="right" vertical="center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center" vertical="center"/>
    </xf>
    <xf numFmtId="165" fontId="1" fillId="0" borderId="8" xfId="0" applyNumberFormat="1" applyFont="1" applyBorder="1" applyAlignment="1">
      <alignment horizontal="right" vertical="center"/>
    </xf>
    <xf numFmtId="165" fontId="1" fillId="0" borderId="9" xfId="0" applyNumberFormat="1" applyFont="1" applyBorder="1" applyAlignment="1">
      <alignment horizontal="righ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165" fontId="1" fillId="2" borderId="5" xfId="0" applyNumberFormat="1" applyFont="1" applyFill="1" applyBorder="1" applyAlignment="1">
      <alignment horizontal="right" vertical="center"/>
    </xf>
    <xf numFmtId="0" fontId="7" fillId="3" borderId="5" xfId="0" applyFont="1" applyFill="1" applyBorder="1" applyAlignment="1">
      <alignment horizontal="center" vertical="center"/>
    </xf>
    <xf numFmtId="165" fontId="8" fillId="4" borderId="5" xfId="0" applyNumberFormat="1" applyFont="1" applyFill="1" applyBorder="1" applyAlignment="1">
      <alignment horizontal="right" vertical="center"/>
    </xf>
    <xf numFmtId="0" fontId="8" fillId="4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9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vertical="center" wrapText="1"/>
    </xf>
    <xf numFmtId="164" fontId="1" fillId="0" borderId="0" xfId="0" applyNumberFormat="1" applyFont="1"/>
    <xf numFmtId="0" fontId="11" fillId="0" borderId="12" xfId="0" applyFont="1" applyBorder="1" applyAlignment="1">
      <alignment vertical="center"/>
    </xf>
    <xf numFmtId="0" fontId="11" fillId="0" borderId="13" xfId="0" applyFont="1" applyBorder="1" applyAlignment="1">
      <alignment horizontal="right" vertical="center"/>
    </xf>
    <xf numFmtId="0" fontId="11" fillId="0" borderId="12" xfId="0" applyFont="1" applyBorder="1" applyAlignment="1">
      <alignment horizontal="left" vertical="center"/>
    </xf>
    <xf numFmtId="0" fontId="12" fillId="5" borderId="14" xfId="0" applyFont="1" applyFill="1" applyBorder="1" applyAlignment="1">
      <alignment horizontal="center" vertical="center"/>
    </xf>
    <xf numFmtId="0" fontId="12" fillId="5" borderId="16" xfId="0" applyFont="1" applyFill="1" applyBorder="1" applyAlignment="1">
      <alignment horizontal="center" vertical="center"/>
    </xf>
    <xf numFmtId="0" fontId="12" fillId="5" borderId="17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1" fillId="0" borderId="10" xfId="0" applyFont="1" applyBorder="1" applyAlignment="1">
      <alignment horizontal="center" vertical="center"/>
    </xf>
    <xf numFmtId="0" fontId="6" fillId="0" borderId="10" xfId="0" applyFont="1" applyBorder="1"/>
    <xf numFmtId="0" fontId="7" fillId="3" borderId="8" xfId="0" applyFont="1" applyFill="1" applyBorder="1" applyAlignment="1">
      <alignment horizontal="center" vertical="center"/>
    </xf>
    <xf numFmtId="0" fontId="6" fillId="0" borderId="2" xfId="0" applyFont="1" applyBorder="1"/>
    <xf numFmtId="0" fontId="7" fillId="3" borderId="6" xfId="0" applyFont="1" applyFill="1" applyBorder="1" applyAlignment="1">
      <alignment horizontal="center" vertical="center"/>
    </xf>
    <xf numFmtId="0" fontId="6" fillId="0" borderId="11" xfId="0" applyFont="1" applyBorder="1"/>
    <xf numFmtId="0" fontId="6" fillId="0" borderId="4" xfId="0" applyFont="1" applyBorder="1"/>
    <xf numFmtId="0" fontId="7" fillId="3" borderId="2" xfId="0" applyFont="1" applyFill="1" applyBorder="1" applyAlignment="1">
      <alignment horizontal="center" vertical="center"/>
    </xf>
    <xf numFmtId="0" fontId="10" fillId="0" borderId="18" xfId="0" applyFont="1" applyBorder="1" applyAlignment="1">
      <alignment horizontal="left" vertical="center" wrapText="1"/>
    </xf>
    <xf numFmtId="0" fontId="0" fillId="0" borderId="15" xfId="0" applyBorder="1" applyAlignment="1">
      <alignment horizontal="center" vertical="center"/>
    </xf>
    <xf numFmtId="0" fontId="13" fillId="0" borderId="18" xfId="0" applyFont="1" applyBorder="1" applyAlignment="1">
      <alignment horizontal="left" vertical="center"/>
    </xf>
    <xf numFmtId="0" fontId="12" fillId="5" borderId="14" xfId="0" applyFont="1" applyFill="1" applyBorder="1" applyAlignment="1">
      <alignment horizontal="center" vertical="center" wrapText="1"/>
    </xf>
    <xf numFmtId="0" fontId="12" fillId="5" borderId="19" xfId="0" applyFont="1" applyFill="1" applyBorder="1" applyAlignment="1">
      <alignment horizontal="center" vertical="center" wrapText="1"/>
    </xf>
    <xf numFmtId="0" fontId="9" fillId="0" borderId="14" xfId="0" applyFont="1" applyBorder="1" applyAlignment="1">
      <alignment vertical="center" wrapText="1"/>
    </xf>
    <xf numFmtId="166" fontId="9" fillId="0" borderId="20" xfId="0" applyNumberFormat="1" applyFont="1" applyBorder="1" applyAlignment="1">
      <alignment vertical="center" wrapText="1"/>
    </xf>
    <xf numFmtId="0" fontId="9" fillId="6" borderId="22" xfId="0" applyFont="1" applyFill="1" applyBorder="1" applyAlignment="1">
      <alignment vertical="center"/>
    </xf>
    <xf numFmtId="165" fontId="9" fillId="6" borderId="21" xfId="0" applyNumberFormat="1" applyFont="1" applyFill="1" applyBorder="1" applyAlignment="1">
      <alignment vertical="center"/>
    </xf>
  </cellXfs>
  <cellStyles count="1">
    <cellStyle name="Normal" xfId="0" builtinId="0"/>
  </cellStyles>
  <dxfs count="4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8"/>
          <bgColor theme="8"/>
        </patternFill>
      </fill>
    </dxf>
    <dxf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8"/>
          <bgColor theme="8"/>
        </patternFill>
      </fill>
    </dxf>
    <dxf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8"/>
          <bgColor theme="8"/>
        </patternFill>
      </fill>
    </dxf>
    <dxf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8"/>
          <bgColor theme="8"/>
        </patternFill>
      </fill>
    </dxf>
    <dxf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8"/>
          <bgColor theme="8"/>
        </patternFill>
      </fill>
    </dxf>
    <dxf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8"/>
          <bgColor theme="8"/>
        </patternFill>
      </fill>
    </dxf>
    <dxf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8"/>
          <bgColor theme="8"/>
        </patternFill>
      </fill>
    </dxf>
    <dxf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8"/>
          <bgColor theme="8"/>
        </patternFill>
      </fill>
    </dxf>
    <dxf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8"/>
          <bgColor theme="8"/>
        </patternFill>
      </fill>
    </dxf>
    <dxf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</dxfs>
  <tableStyles count="11">
    <tableStyle name="Recursos Humanos-style" pivot="0" count="4" xr9:uid="{00000000-0011-0000-FFFF-FFFF00000000}">
      <tableStyleElement type="wholeTable" size="0" dxfId="45"/>
      <tableStyleElement type="headerRow" dxfId="44"/>
      <tableStyleElement type="firstRowStripe" dxfId="43"/>
      <tableStyleElement type="secondRowStripe" dxfId="42"/>
    </tableStyle>
    <tableStyle name="Desarrollo Actual-style" pivot="0" count="4" xr9:uid="{00000000-0011-0000-FFFF-FFFF01000000}">
      <tableStyleElement type="wholeTable" size="0" dxfId="41"/>
      <tableStyleElement type="headerRow" dxfId="40"/>
      <tableStyleElement type="firstRowStripe" dxfId="39"/>
      <tableStyleElement type="secondRowStripe" dxfId="38"/>
    </tableStyle>
    <tableStyle name="Soporte y Mantenimiento-style" pivot="0" count="4" xr9:uid="{00000000-0011-0000-FFFF-FFFF02000000}">
      <tableStyleElement type="wholeTable" size="0" dxfId="37"/>
      <tableStyleElement type="headerRow" dxfId="36"/>
      <tableStyleElement type="firstRowStripe" dxfId="35"/>
      <tableStyleElement type="secondRowStripe" dxfId="34"/>
    </tableStyle>
    <tableStyle name="Administración y Documentación-style" pivot="0" count="4" xr9:uid="{00000000-0011-0000-FFFF-FFFF03000000}">
      <tableStyleElement type="wholeTable" size="0" dxfId="33"/>
      <tableStyleElement type="headerRow" dxfId="32"/>
      <tableStyleElement type="firstRowStripe" dxfId="31"/>
      <tableStyleElement type="secondRowStripe" dxfId="30"/>
    </tableStyle>
    <tableStyle name="Recursos Humano (Día)-style" pivot="0" count="4" xr9:uid="{00000000-0011-0000-FFFF-FFFF04000000}">
      <tableStyleElement type="wholeTable" size="0" dxfId="29"/>
      <tableStyleElement type="headerRow" dxfId="28"/>
      <tableStyleElement type="firstRowStripe" dxfId="27"/>
      <tableStyleElement type="secondRowStripe" dxfId="26"/>
    </tableStyle>
    <tableStyle name="Servidores Físicos-style" pivot="0" count="4" xr9:uid="{00000000-0011-0000-FFFF-FFFF05000000}">
      <tableStyleElement type="wholeTable" size="0" dxfId="25"/>
      <tableStyleElement type="headerRow" dxfId="24"/>
      <tableStyleElement type="firstRowStripe" dxfId="23"/>
      <tableStyleElement type="secondRowStripe" dxfId="22"/>
    </tableStyle>
    <tableStyle name="Servidores Físicos-style 2" pivot="0" count="4" xr9:uid="{00000000-0011-0000-FFFF-FFFF06000000}">
      <tableStyleElement type="wholeTable" size="0" dxfId="21"/>
      <tableStyleElement type="headerRow" dxfId="20"/>
      <tableStyleElement type="firstRowStripe" dxfId="19"/>
      <tableStyleElement type="secondRowStripe" dxfId="18"/>
    </tableStyle>
    <tableStyle name="Servidores Web - Hosting-style" pivot="0" count="4" xr9:uid="{00000000-0011-0000-FFFF-FFFF07000000}">
      <tableStyleElement type="wholeTable" size="0" dxfId="17"/>
      <tableStyleElement type="headerRow" dxfId="16"/>
      <tableStyleElement type="firstRowStripe" dxfId="15"/>
      <tableStyleElement type="secondRowStripe" dxfId="14"/>
    </tableStyle>
    <tableStyle name="Servidores Web - Hosting-style 2" pivot="0" count="4" xr9:uid="{00000000-0011-0000-FFFF-FFFF08000000}">
      <tableStyleElement type="wholeTable" size="0" dxfId="13"/>
      <tableStyleElement type="headerRow" dxfId="12"/>
      <tableStyleElement type="firstRowStripe" dxfId="11"/>
      <tableStyleElement type="secondRowStripe" dxfId="10"/>
    </tableStyle>
    <tableStyle name="Cotización Total-style" pivot="0" count="4" xr9:uid="{00000000-0011-0000-FFFF-FFFF09000000}">
      <tableStyleElement type="wholeTable" size="0" dxfId="9"/>
      <tableStyleElement type="headerRow" dxfId="8"/>
      <tableStyleElement type="firstRowStripe" dxfId="7"/>
      <tableStyleElement type="secondRowStripe" dxfId="6"/>
    </tableStyle>
    <tableStyle name="Cotización Total-style 2" pivot="0" count="4" xr9:uid="{00000000-0011-0000-FFFF-FFFF0A000000}">
      <tableStyleElement type="wholeTable" size="0" dxfId="5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NUL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2</xdr:row>
      <xdr:rowOff>304800</xdr:rowOff>
    </xdr:to>
    <xdr:sp macro="" textlink="">
      <xdr:nvSpPr>
        <xdr:cNvPr id="6146" name="AutoShape 2" descr="Servidor Lenovo Thinksystem St45 V3 Amd Epyc 16gb 2tb 2 Tb 16 Gb Amd Radeon  Integrada">
          <a:extLst>
            <a:ext uri="{FF2B5EF4-FFF2-40B4-BE49-F238E27FC236}">
              <a16:creationId xmlns:a16="http://schemas.microsoft.com/office/drawing/2014/main" id="{CA2210CA-13BD-610D-0B03-D350D1FF95A0}"/>
            </a:ext>
          </a:extLst>
        </xdr:cNvPr>
        <xdr:cNvSpPr>
          <a:spLocks noChangeAspect="1" noChangeArrowheads="1"/>
        </xdr:cNvSpPr>
      </xdr:nvSpPr>
      <xdr:spPr bwMode="auto">
        <a:xfrm>
          <a:off x="2724150" y="58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2</xdr:row>
      <xdr:rowOff>304800</xdr:rowOff>
    </xdr:to>
    <xdr:sp macro="" textlink="">
      <xdr:nvSpPr>
        <xdr:cNvPr id="6147" name="AutoShape 3" descr="Servidor Lenovo Thinksystem St45 V3 Amd Epyc 16gb 2tb 2 Tb 16 Gb Amd Radeon  Integrada">
          <a:extLst>
            <a:ext uri="{FF2B5EF4-FFF2-40B4-BE49-F238E27FC236}">
              <a16:creationId xmlns:a16="http://schemas.microsoft.com/office/drawing/2014/main" id="{B8B6DAC6-5A10-9A5C-D513-F75EA837A40F}"/>
            </a:ext>
          </a:extLst>
        </xdr:cNvPr>
        <xdr:cNvSpPr>
          <a:spLocks noChangeAspect="1" noChangeArrowheads="1"/>
        </xdr:cNvSpPr>
      </xdr:nvSpPr>
      <xdr:spPr bwMode="auto">
        <a:xfrm>
          <a:off x="2724150" y="58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304800</xdr:colOff>
      <xdr:row>28</xdr:row>
      <xdr:rowOff>104775</xdr:rowOff>
    </xdr:to>
    <xdr:sp macro="" textlink="">
      <xdr:nvSpPr>
        <xdr:cNvPr id="6148" name="AutoShape 4" descr="Servidor Lenovo Thinksystem St45 V3 Amd Epyc 16gb 2tb 2 Tb 16 Gb Amd Radeon  Integrada">
          <a:extLst>
            <a:ext uri="{FF2B5EF4-FFF2-40B4-BE49-F238E27FC236}">
              <a16:creationId xmlns:a16="http://schemas.microsoft.com/office/drawing/2014/main" id="{FEABE8B1-0648-9EEF-1B08-1EC40C0B2CEF}"/>
            </a:ext>
          </a:extLst>
        </xdr:cNvPr>
        <xdr:cNvSpPr>
          <a:spLocks noChangeAspect="1" noChangeArrowheads="1"/>
        </xdr:cNvSpPr>
      </xdr:nvSpPr>
      <xdr:spPr bwMode="auto">
        <a:xfrm>
          <a:off x="2724150" y="1033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133351</xdr:colOff>
      <xdr:row>2</xdr:row>
      <xdr:rowOff>9525</xdr:rowOff>
    </xdr:from>
    <xdr:to>
      <xdr:col>1</xdr:col>
      <xdr:colOff>838200</xdr:colOff>
      <xdr:row>2</xdr:row>
      <xdr:rowOff>1284162</xdr:rowOff>
    </xdr:to>
    <xdr:pic>
      <xdr:nvPicPr>
        <xdr:cNvPr id="2" name="Imagen 1" descr="Servidor Lenovo Thinksystem St45 V3 Amd Epyc 16gb 2tb 2 Tb 16 Gb Amd Radeon  Integrada | Cuotas sin interés">
          <a:extLst>
            <a:ext uri="{FF2B5EF4-FFF2-40B4-BE49-F238E27FC236}">
              <a16:creationId xmlns:a16="http://schemas.microsoft.com/office/drawing/2014/main" id="{AAC3D237-29C9-A2B0-4203-60812371EE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1" y="590550"/>
          <a:ext cx="704849" cy="12746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133350</xdr:colOff>
      <xdr:row>3</xdr:row>
      <xdr:rowOff>66675</xdr:rowOff>
    </xdr:from>
    <xdr:to>
      <xdr:col>1</xdr:col>
      <xdr:colOff>828675</xdr:colOff>
      <xdr:row>3</xdr:row>
      <xdr:rowOff>762000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FB24553-DBF8-5101-436C-6DC725F061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0" y="1990725"/>
          <a:ext cx="695325" cy="695325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4</xdr:row>
      <xdr:rowOff>85725</xdr:rowOff>
    </xdr:from>
    <xdr:to>
      <xdr:col>1</xdr:col>
      <xdr:colOff>695325</xdr:colOff>
      <xdr:row>4</xdr:row>
      <xdr:rowOff>699867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051DFD-4387-5A78-9715-883ADDA92A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14650" y="2790825"/>
          <a:ext cx="504825" cy="614142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114300</xdr:colOff>
      <xdr:row>5</xdr:row>
      <xdr:rowOff>28575</xdr:rowOff>
    </xdr:from>
    <xdr:to>
      <xdr:col>1</xdr:col>
      <xdr:colOff>828675</xdr:colOff>
      <xdr:row>5</xdr:row>
      <xdr:rowOff>742950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B1D15D2-A3FD-FE57-F600-365A877531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38450" y="3495675"/>
          <a:ext cx="714375" cy="714375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6</xdr:row>
      <xdr:rowOff>47625</xdr:rowOff>
    </xdr:from>
    <xdr:to>
      <xdr:col>1</xdr:col>
      <xdr:colOff>838200</xdr:colOff>
      <xdr:row>6</xdr:row>
      <xdr:rowOff>927624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83813443-F21D-5F1B-8797-98D1CB2CA9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819400" y="4276725"/>
          <a:ext cx="742950" cy="879999"/>
        </a:xfrm>
        <a:prstGeom prst="rect">
          <a:avLst/>
        </a:prstGeom>
      </xdr:spPr>
    </xdr:pic>
    <xdr:clientData/>
  </xdr:twoCellAnchor>
  <xdr:twoCellAnchor editAs="oneCell">
    <xdr:from>
      <xdr:col>9</xdr:col>
      <xdr:colOff>104775</xdr:colOff>
      <xdr:row>6</xdr:row>
      <xdr:rowOff>47625</xdr:rowOff>
    </xdr:from>
    <xdr:to>
      <xdr:col>9</xdr:col>
      <xdr:colOff>828675</xdr:colOff>
      <xdr:row>6</xdr:row>
      <xdr:rowOff>905060</xdr:rowOff>
    </xdr:to>
    <xdr:pic>
      <xdr:nvPicPr>
        <xdr:cNvPr id="7" name="Imagen 6" descr="Relación de cable de alimentación a PDU (SPARC M7-8) - Guía de instalación  de los servidores serie SPARC M7">
          <a:extLst>
            <a:ext uri="{FF2B5EF4-FFF2-40B4-BE49-F238E27FC236}">
              <a16:creationId xmlns:a16="http://schemas.microsoft.com/office/drawing/2014/main" id="{128A17AB-8DF7-CB45-C506-BA778D424F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54275" y="4276725"/>
          <a:ext cx="723900" cy="8574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152401</xdr:colOff>
      <xdr:row>7</xdr:row>
      <xdr:rowOff>76201</xdr:rowOff>
    </xdr:from>
    <xdr:to>
      <xdr:col>1</xdr:col>
      <xdr:colOff>800101</xdr:colOff>
      <xdr:row>7</xdr:row>
      <xdr:rowOff>723901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390BEF96-5C45-5D81-4F94-AD0C71DB53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876551" y="5257801"/>
          <a:ext cx="647700" cy="647700"/>
        </a:xfrm>
        <a:prstGeom prst="rect">
          <a:avLst/>
        </a:prstGeom>
      </xdr:spPr>
    </xdr:pic>
    <xdr:clientData/>
  </xdr:twoCellAnchor>
  <xdr:twoCellAnchor editAs="oneCell">
    <xdr:from>
      <xdr:col>9</xdr:col>
      <xdr:colOff>123825</xdr:colOff>
      <xdr:row>7</xdr:row>
      <xdr:rowOff>38100</xdr:rowOff>
    </xdr:from>
    <xdr:to>
      <xdr:col>9</xdr:col>
      <xdr:colOff>819150</xdr:colOff>
      <xdr:row>7</xdr:row>
      <xdr:rowOff>733425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61F1972-4A12-6397-F92A-B000E971D9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173325" y="5219700"/>
          <a:ext cx="695325" cy="695325"/>
        </a:xfrm>
        <a:prstGeom prst="rect">
          <a:avLst/>
        </a:prstGeom>
      </xdr:spPr>
    </xdr:pic>
    <xdr:clientData/>
  </xdr:twoCellAnchor>
  <xdr:twoCellAnchor editAs="oneCell">
    <xdr:from>
      <xdr:col>1</xdr:col>
      <xdr:colOff>47627</xdr:colOff>
      <xdr:row>8</xdr:row>
      <xdr:rowOff>161925</xdr:rowOff>
    </xdr:from>
    <xdr:to>
      <xdr:col>1</xdr:col>
      <xdr:colOff>914401</xdr:colOff>
      <xdr:row>8</xdr:row>
      <xdr:rowOff>630836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206628E0-E59A-042C-E2DD-303D7D2440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771777" y="6105525"/>
          <a:ext cx="866774" cy="468911"/>
        </a:xfrm>
        <a:prstGeom prst="rect">
          <a:avLst/>
        </a:prstGeom>
      </xdr:spPr>
    </xdr:pic>
    <xdr:clientData/>
  </xdr:twoCellAnchor>
  <xdr:twoCellAnchor editAs="oneCell">
    <xdr:from>
      <xdr:col>9</xdr:col>
      <xdr:colOff>85725</xdr:colOff>
      <xdr:row>8</xdr:row>
      <xdr:rowOff>152401</xdr:rowOff>
    </xdr:from>
    <xdr:to>
      <xdr:col>9</xdr:col>
      <xdr:colOff>895350</xdr:colOff>
      <xdr:row>8</xdr:row>
      <xdr:rowOff>590395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56763E17-5F7F-5DEA-6D73-A971EC158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5135225" y="6096001"/>
          <a:ext cx="809625" cy="437994"/>
        </a:xfrm>
        <a:prstGeom prst="rect">
          <a:avLst/>
        </a:prstGeom>
      </xdr:spPr>
    </xdr:pic>
    <xdr:clientData/>
  </xdr:twoCellAnchor>
  <xdr:twoCellAnchor editAs="oneCell">
    <xdr:from>
      <xdr:col>9</xdr:col>
      <xdr:colOff>200025</xdr:colOff>
      <xdr:row>2</xdr:row>
      <xdr:rowOff>57150</xdr:rowOff>
    </xdr:from>
    <xdr:to>
      <xdr:col>9</xdr:col>
      <xdr:colOff>711086</xdr:colOff>
      <xdr:row>2</xdr:row>
      <xdr:rowOff>1314450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5CA94D4B-4CE5-A260-7B73-967F98631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5249525" y="638175"/>
          <a:ext cx="511061" cy="1257300"/>
        </a:xfrm>
        <a:prstGeom prst="rect">
          <a:avLst/>
        </a:prstGeom>
      </xdr:spPr>
    </xdr:pic>
    <xdr:clientData/>
  </xdr:twoCellAnchor>
  <xdr:twoCellAnchor editAs="oneCell">
    <xdr:from>
      <xdr:col>9</xdr:col>
      <xdr:colOff>142875</xdr:colOff>
      <xdr:row>3</xdr:row>
      <xdr:rowOff>47625</xdr:rowOff>
    </xdr:from>
    <xdr:to>
      <xdr:col>9</xdr:col>
      <xdr:colOff>838200</xdr:colOff>
      <xdr:row>3</xdr:row>
      <xdr:rowOff>742950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3DEB8FD0-F764-4193-8BBE-8286ECB86B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192375" y="1971675"/>
          <a:ext cx="695325" cy="695325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4</xdr:row>
      <xdr:rowOff>123825</xdr:rowOff>
    </xdr:from>
    <xdr:to>
      <xdr:col>9</xdr:col>
      <xdr:colOff>878144</xdr:colOff>
      <xdr:row>4</xdr:row>
      <xdr:rowOff>666750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44B49E7C-8C38-000B-8729-8552047646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5116175" y="2828925"/>
          <a:ext cx="811469" cy="542925"/>
        </a:xfrm>
        <a:prstGeom prst="rect">
          <a:avLst/>
        </a:prstGeom>
      </xdr:spPr>
    </xdr:pic>
    <xdr:clientData/>
  </xdr:twoCellAnchor>
  <xdr:twoCellAnchor editAs="oneCell">
    <xdr:from>
      <xdr:col>9</xdr:col>
      <xdr:colOff>171451</xdr:colOff>
      <xdr:row>5</xdr:row>
      <xdr:rowOff>38100</xdr:rowOff>
    </xdr:from>
    <xdr:to>
      <xdr:col>9</xdr:col>
      <xdr:colOff>781051</xdr:colOff>
      <xdr:row>5</xdr:row>
      <xdr:rowOff>743953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7C861177-B83D-43E9-97CC-09A34F06AA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5220951" y="3505200"/>
          <a:ext cx="609600" cy="70585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142876</xdr:colOff>
      <xdr:row>3</xdr:row>
      <xdr:rowOff>304801</xdr:rowOff>
    </xdr:from>
    <xdr:to>
      <xdr:col>1</xdr:col>
      <xdr:colOff>1190626</xdr:colOff>
      <xdr:row>3</xdr:row>
      <xdr:rowOff>1352551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11782EE-5EBD-C1C0-EE25-93A62D7C0D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67026" y="1114426"/>
          <a:ext cx="1047750" cy="104775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4</xdr:row>
      <xdr:rowOff>190500</xdr:rowOff>
    </xdr:from>
    <xdr:to>
      <xdr:col>1</xdr:col>
      <xdr:colOff>1228725</xdr:colOff>
      <xdr:row>4</xdr:row>
      <xdr:rowOff>1542886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98E42575-BAD0-BE16-5ED5-2837A3D529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19400" y="2590800"/>
          <a:ext cx="1133475" cy="1352386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</xdr:row>
      <xdr:rowOff>133351</xdr:rowOff>
    </xdr:from>
    <xdr:to>
      <xdr:col>1</xdr:col>
      <xdr:colOff>1295400</xdr:colOff>
      <xdr:row>5</xdr:row>
      <xdr:rowOff>1485809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FBA3CFF8-3CDD-1372-207B-0528CC2EFC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81300" y="4305301"/>
          <a:ext cx="1238250" cy="135245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3</xdr:row>
      <xdr:rowOff>314325</xdr:rowOff>
    </xdr:from>
    <xdr:to>
      <xdr:col>1</xdr:col>
      <xdr:colOff>1200150</xdr:colOff>
      <xdr:row>3</xdr:row>
      <xdr:rowOff>1362075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90B3022-877F-4398-A3C5-663B31F4C7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76550" y="1123950"/>
          <a:ext cx="1047750" cy="104775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4</xdr:row>
      <xdr:rowOff>247650</xdr:rowOff>
    </xdr:from>
    <xdr:to>
      <xdr:col>1</xdr:col>
      <xdr:colOff>1228725</xdr:colOff>
      <xdr:row>4</xdr:row>
      <xdr:rowOff>1600036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BA08DEC-D3D1-4240-9AF3-77B2603B61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19400" y="2667000"/>
          <a:ext cx="1133475" cy="1352386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5</xdr:row>
      <xdr:rowOff>104775</xdr:rowOff>
    </xdr:from>
    <xdr:to>
      <xdr:col>1</xdr:col>
      <xdr:colOff>1276350</xdr:colOff>
      <xdr:row>5</xdr:row>
      <xdr:rowOff>1457233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DE68011-E32D-4D98-A74C-74189CE34E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62250" y="4295775"/>
          <a:ext cx="1238250" cy="135245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2:D12">
  <tableColumns count="4">
    <tableColumn id="1" xr3:uid="{00000000-0010-0000-0000-000001000000}" name="Recurso Humano"/>
    <tableColumn id="2" xr3:uid="{00000000-0010-0000-0000-000002000000}" name="Salario Mensual Estimado (COP)"/>
    <tableColumn id="3" xr3:uid="{00000000-0010-0000-0000-000003000000}" name="Salario Diario Aprox. (COP)"/>
    <tableColumn id="4" xr3:uid="{00000000-0010-0000-0000-000004000000}" name="Salario Hora"/>
  </tableColumns>
  <tableStyleInfo name="Recursos Humano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2:G8">
  <tableColumns count="7">
    <tableColumn id="1" xr3:uid="{00000000-0010-0000-0100-000001000000}" name="Actividad"/>
    <tableColumn id="2" xr3:uid="{00000000-0010-0000-0100-000002000000}" name="Estimación en Días"/>
    <tableColumn id="3" xr3:uid="{00000000-0010-0000-0100-000003000000}" name="Horas Trabajadas x Día"/>
    <tableColumn id="4" xr3:uid="{00000000-0010-0000-0100-000004000000}" name="Trabajo en Horas Estimadas"/>
    <tableColumn id="5" xr3:uid="{00000000-0010-0000-0100-000005000000}" name="Costo por Día (COP)"/>
    <tableColumn id="6" xr3:uid="{00000000-0010-0000-0100-000006000000}" name="Costo por Hora (COP)"/>
    <tableColumn id="7" xr3:uid="{00000000-0010-0000-0100-000007000000}" name="Costo Estimado (COP)"/>
  </tableColumns>
  <tableStyleInfo name="Desarrollo Actual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2:E6">
  <tableColumns count="5">
    <tableColumn id="1" xr3:uid="{00000000-0010-0000-0200-000001000000}" name="Actividad"/>
    <tableColumn id="2" xr3:uid="{00000000-0010-0000-0200-000002000000}" name="Incluye"/>
    <tableColumn id="3" xr3:uid="{00000000-0010-0000-0200-000003000000}" name="Estimación Plan Mensual (COP)"/>
    <tableColumn id="4" xr3:uid="{00000000-0010-0000-0200-000004000000}" name="Estimación Plan Semestral (COP)"/>
    <tableColumn id="5" xr3:uid="{00000000-0010-0000-0200-000005000000}" name="Con Descuento de 10% si es Plan Semestral "/>
  </tableColumns>
  <tableStyleInfo name="Soporte y Mantenimiento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2:B5">
  <tableColumns count="2">
    <tableColumn id="1" xr3:uid="{00000000-0010-0000-0300-000001000000}" name="Recurso"/>
    <tableColumn id="2" xr3:uid="{00000000-0010-0000-0300-000002000000}" name="Costo Estimado (COP)"/>
  </tableColumns>
  <tableStyleInfo name="Administración y Documentación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2:C12">
  <tableColumns count="3">
    <tableColumn id="1" xr3:uid="{00000000-0010-0000-0400-000001000000}" name="Recurso Humano"/>
    <tableColumn id="2" xr3:uid="{00000000-0010-0000-0400-000002000000}" name="Salario Diario Aprox. (COP)"/>
    <tableColumn id="3" xr3:uid="{00000000-0010-0000-0400-000003000000}" name="Fuente para Justificar Salario"/>
  </tableColumns>
  <tableStyleInfo name="Recursos Humano (Día)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2:F9">
  <tableColumns count="6">
    <tableColumn id="1" xr3:uid="{00000000-0010-0000-0500-000001000000}" name="Producto / Servicio"/>
    <tableColumn id="6" xr3:uid="{52F9D442-E7E4-4D6C-9841-34D216CBA9CE}" name="Muestra Visual" dataDxfId="1"/>
    <tableColumn id="2" xr3:uid="{00000000-0010-0000-0500-000002000000}" name="Descripción"/>
    <tableColumn id="3" xr3:uid="{00000000-0010-0000-0500-000003000000}" name="Cantidad"/>
    <tableColumn id="4" xr3:uid="{00000000-0010-0000-0500-000004000000}" name="Valor  Unitario Cotizado (COP)"/>
    <tableColumn id="5" xr3:uid="{00000000-0010-0000-0500-000005000000}" name="Subtotal (COP)"/>
  </tableColumns>
  <tableStyleInfo name="Servidores Físicos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I2:N9">
  <tableColumns count="6">
    <tableColumn id="1" xr3:uid="{00000000-0010-0000-0600-000001000000}" name="Producto / Servicio"/>
    <tableColumn id="6" xr3:uid="{2751AA2D-4EA2-4E10-BA84-525D9F536BF7}" name="Muestra Visual" dataDxfId="0"/>
    <tableColumn id="2" xr3:uid="{00000000-0010-0000-0600-000002000000}" name="Descripción"/>
    <tableColumn id="3" xr3:uid="{00000000-0010-0000-0600-000003000000}" name="Cantidad"/>
    <tableColumn id="4" xr3:uid="{00000000-0010-0000-0600-000004000000}" name="Valor  Unitario Cotizado (COP)"/>
    <tableColumn id="5" xr3:uid="{00000000-0010-0000-0600-000005000000}" name="Subtotal (COP)"/>
  </tableColumns>
  <tableStyleInfo name="Servidores Físicos-style 2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A2:C7">
  <tableColumns count="3">
    <tableColumn id="1" xr3:uid="{00000000-0010-0000-0700-000001000000}" name="Concepto"/>
    <tableColumn id="2" xr3:uid="{00000000-0010-0000-0700-000002000000}" name="Detalle"/>
    <tableColumn id="3" xr3:uid="{00000000-0010-0000-0700-000003000000}" name="Valor Anual Cotizado (COP)"/>
  </tableColumns>
  <tableStyleInfo name="Servidores Web - Hosting-style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F2:H7">
  <tableColumns count="3">
    <tableColumn id="1" xr3:uid="{00000000-0010-0000-0800-000001000000}" name="Concepto"/>
    <tableColumn id="2" xr3:uid="{00000000-0010-0000-0800-000002000000}" name="Detalle"/>
    <tableColumn id="3" xr3:uid="{00000000-0010-0000-0800-000003000000}" name="Valor Anual Cotizado (COP)"/>
  </tableColumns>
  <tableStyleInfo name="Servidores Web - Hosting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agneto365.com/co/cargos/informatica-tecnologia-sistemas/arquitecto-software?utm_source=chatgpt.com" TargetMode="External"/><Relationship Id="rId2" Type="http://schemas.openxmlformats.org/officeDocument/2006/relationships/hyperlink" Target="https://image.email.page.com/lib/fe3711717564047b761d70/m/1/3b1b65df-f6f3-4ed3-8d44-fc82a34446d1.pdf?utm_source=chatgpt.com" TargetMode="External"/><Relationship Id="rId1" Type="http://schemas.openxmlformats.org/officeDocument/2006/relationships/hyperlink" Target="https://co.indeed.com/career/l%C3%ADder-de-proyectos/salaries?utm_source=chatgpt.com" TargetMode="External"/><Relationship Id="rId4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D18" sqref="D18"/>
    </sheetView>
  </sheetViews>
  <sheetFormatPr baseColWidth="10" defaultColWidth="14.42578125" defaultRowHeight="15" customHeight="1"/>
  <cols>
    <col min="1" max="1" width="37.5703125" customWidth="1"/>
    <col min="2" max="2" width="35.42578125" customWidth="1"/>
    <col min="3" max="3" width="29.140625" customWidth="1"/>
    <col min="4" max="4" width="24.140625" customWidth="1"/>
    <col min="5" max="6" width="10.7109375" customWidth="1"/>
  </cols>
  <sheetData>
    <row r="1" spans="1:4" ht="19.5" customHeight="1">
      <c r="A1" s="50" t="s">
        <v>0</v>
      </c>
      <c r="B1" s="51"/>
      <c r="C1" s="51"/>
      <c r="D1" s="51"/>
    </row>
    <row r="2" spans="1:4" ht="21.75" customHeight="1">
      <c r="A2" s="1" t="s">
        <v>1</v>
      </c>
      <c r="B2" s="2" t="s">
        <v>2</v>
      </c>
      <c r="C2" s="2" t="s">
        <v>3</v>
      </c>
      <c r="D2" s="3" t="s">
        <v>4</v>
      </c>
    </row>
    <row r="3" spans="1:4" ht="21.75" customHeight="1">
      <c r="A3" s="4" t="s">
        <v>5</v>
      </c>
      <c r="B3" s="5">
        <v>2938675</v>
      </c>
      <c r="C3" s="5">
        <f t="shared" ref="C3:C11" si="0">B3/30</f>
        <v>97955.833333333328</v>
      </c>
      <c r="D3" s="6">
        <f t="shared" ref="D3:D11" si="1">C3/8</f>
        <v>12244.479166666666</v>
      </c>
    </row>
    <row r="4" spans="1:4" ht="21.75" customHeight="1">
      <c r="A4" s="4" t="s">
        <v>6</v>
      </c>
      <c r="B4" s="5">
        <v>3500000</v>
      </c>
      <c r="C4" s="5">
        <f t="shared" si="0"/>
        <v>116666.66666666667</v>
      </c>
      <c r="D4" s="6">
        <f t="shared" si="1"/>
        <v>14583.333333333334</v>
      </c>
    </row>
    <row r="5" spans="1:4" ht="21.75" customHeight="1">
      <c r="A5" s="4" t="s">
        <v>7</v>
      </c>
      <c r="B5" s="5">
        <v>3000000</v>
      </c>
      <c r="C5" s="5">
        <f t="shared" si="0"/>
        <v>100000</v>
      </c>
      <c r="D5" s="6">
        <f t="shared" si="1"/>
        <v>12500</v>
      </c>
    </row>
    <row r="6" spans="1:4" ht="21.75" customHeight="1">
      <c r="A6" s="4" t="s">
        <v>8</v>
      </c>
      <c r="B6" s="5">
        <v>3000000</v>
      </c>
      <c r="C6" s="5">
        <f t="shared" si="0"/>
        <v>100000</v>
      </c>
      <c r="D6" s="6">
        <f t="shared" si="1"/>
        <v>12500</v>
      </c>
    </row>
    <row r="7" spans="1:4" ht="21.75" customHeight="1">
      <c r="A7" s="4" t="s">
        <v>9</v>
      </c>
      <c r="B7" s="5">
        <v>3500000</v>
      </c>
      <c r="C7" s="5">
        <f t="shared" si="0"/>
        <v>116666.66666666667</v>
      </c>
      <c r="D7" s="6">
        <f t="shared" si="1"/>
        <v>14583.333333333334</v>
      </c>
    </row>
    <row r="8" spans="1:4" ht="21.75" customHeight="1">
      <c r="A8" s="4" t="s">
        <v>10</v>
      </c>
      <c r="B8" s="5">
        <v>4000000</v>
      </c>
      <c r="C8" s="5">
        <f t="shared" si="0"/>
        <v>133333.33333333334</v>
      </c>
      <c r="D8" s="6">
        <f t="shared" si="1"/>
        <v>16666.666666666668</v>
      </c>
    </row>
    <row r="9" spans="1:4" ht="21.75" customHeight="1">
      <c r="A9" s="4" t="s">
        <v>11</v>
      </c>
      <c r="B9" s="7">
        <v>3000000</v>
      </c>
      <c r="C9" s="5">
        <f t="shared" si="0"/>
        <v>100000</v>
      </c>
      <c r="D9" s="6">
        <f t="shared" si="1"/>
        <v>12500</v>
      </c>
    </row>
    <row r="10" spans="1:4" ht="21.75" customHeight="1">
      <c r="A10" s="4" t="s">
        <v>12</v>
      </c>
      <c r="B10" s="7">
        <v>3000000</v>
      </c>
      <c r="C10" s="5">
        <f t="shared" si="0"/>
        <v>100000</v>
      </c>
      <c r="D10" s="6">
        <f t="shared" si="1"/>
        <v>12500</v>
      </c>
    </row>
    <row r="11" spans="1:4" ht="21.75" customHeight="1">
      <c r="A11" s="4" t="s">
        <v>13</v>
      </c>
      <c r="B11" s="5">
        <v>4530433</v>
      </c>
      <c r="C11" s="5">
        <f t="shared" si="0"/>
        <v>151014.43333333332</v>
      </c>
      <c r="D11" s="6">
        <f t="shared" si="1"/>
        <v>18876.804166666665</v>
      </c>
    </row>
    <row r="12" spans="1:4" ht="21.75" customHeight="1">
      <c r="A12" s="8" t="s">
        <v>14</v>
      </c>
      <c r="B12" s="9">
        <f t="shared" ref="B12:D12" si="2">SUM(B3:B11)</f>
        <v>30469108</v>
      </c>
      <c r="C12" s="9">
        <f t="shared" si="2"/>
        <v>1015636.9333333333</v>
      </c>
      <c r="D12" s="9">
        <f t="shared" si="2"/>
        <v>126954.61666666667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ageMargins left="0.7" right="0.7" top="0.75" bottom="0.75" header="0" footer="0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workbookViewId="0">
      <selection sqref="A1:G1"/>
    </sheetView>
  </sheetViews>
  <sheetFormatPr baseColWidth="10" defaultColWidth="14.42578125" defaultRowHeight="15" customHeight="1"/>
  <cols>
    <col min="1" max="1" width="47.7109375" customWidth="1"/>
    <col min="2" max="2" width="21.42578125" customWidth="1"/>
    <col min="3" max="3" width="24.85546875" customWidth="1"/>
    <col min="4" max="4" width="27.140625" customWidth="1"/>
    <col min="5" max="5" width="25.140625" customWidth="1"/>
    <col min="6" max="6" width="24.28515625" customWidth="1"/>
    <col min="7" max="7" width="25.42578125" customWidth="1"/>
    <col min="8" max="8" width="10.7109375" customWidth="1"/>
  </cols>
  <sheetData>
    <row r="1" spans="1:11" ht="21.75" customHeight="1">
      <c r="A1" s="50" t="s">
        <v>15</v>
      </c>
      <c r="B1" s="51"/>
      <c r="C1" s="51"/>
      <c r="D1" s="51"/>
      <c r="E1" s="51"/>
      <c r="F1" s="51"/>
      <c r="G1" s="51"/>
    </row>
    <row r="2" spans="1:11" ht="21.75" customHeight="1">
      <c r="A2" s="10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3" t="s">
        <v>22</v>
      </c>
    </row>
    <row r="3" spans="1:11" ht="21.75" customHeight="1">
      <c r="A3" s="4" t="s">
        <v>23</v>
      </c>
      <c r="B3" s="11">
        <v>2</v>
      </c>
      <c r="C3" s="11">
        <v>4</v>
      </c>
      <c r="D3" s="11">
        <f t="shared" ref="D3:D7" si="0">B3*C3</f>
        <v>8</v>
      </c>
      <c r="E3" s="12">
        <f t="shared" ref="E3:E7" si="1">F3*C3</f>
        <v>50000</v>
      </c>
      <c r="F3" s="12">
        <v>12500</v>
      </c>
      <c r="G3" s="13">
        <f t="shared" ref="G3:G7" si="2">E3*B3</f>
        <v>100000</v>
      </c>
    </row>
    <row r="4" spans="1:11" ht="21.75" customHeight="1">
      <c r="A4" s="4" t="s">
        <v>24</v>
      </c>
      <c r="B4" s="11">
        <v>8</v>
      </c>
      <c r="C4" s="11">
        <v>8</v>
      </c>
      <c r="D4" s="11">
        <f t="shared" si="0"/>
        <v>64</v>
      </c>
      <c r="E4" s="12">
        <f t="shared" si="1"/>
        <v>100000</v>
      </c>
      <c r="F4" s="12">
        <v>12500</v>
      </c>
      <c r="G4" s="13">
        <f t="shared" si="2"/>
        <v>800000</v>
      </c>
    </row>
    <row r="5" spans="1:11" ht="21.75" customHeight="1">
      <c r="A5" s="4" t="s">
        <v>25</v>
      </c>
      <c r="B5" s="11">
        <v>5</v>
      </c>
      <c r="C5" s="11">
        <v>8</v>
      </c>
      <c r="D5" s="11">
        <f t="shared" si="0"/>
        <v>40</v>
      </c>
      <c r="E5" s="12">
        <f t="shared" si="1"/>
        <v>100000</v>
      </c>
      <c r="F5" s="12">
        <v>12500</v>
      </c>
      <c r="G5" s="13">
        <f t="shared" si="2"/>
        <v>500000</v>
      </c>
    </row>
    <row r="6" spans="1:11" ht="21.75" customHeight="1">
      <c r="A6" s="4" t="s">
        <v>26</v>
      </c>
      <c r="B6" s="11">
        <v>5</v>
      </c>
      <c r="C6" s="11">
        <v>8</v>
      </c>
      <c r="D6" s="11">
        <f t="shared" si="0"/>
        <v>40</v>
      </c>
      <c r="E6" s="12">
        <f t="shared" si="1"/>
        <v>100000</v>
      </c>
      <c r="F6" s="12">
        <v>12500</v>
      </c>
      <c r="G6" s="13">
        <f t="shared" si="2"/>
        <v>500000</v>
      </c>
    </row>
    <row r="7" spans="1:11" ht="21.75" customHeight="1">
      <c r="A7" s="4" t="s">
        <v>27</v>
      </c>
      <c r="B7" s="11">
        <v>4</v>
      </c>
      <c r="C7" s="11">
        <v>8</v>
      </c>
      <c r="D7" s="11">
        <f t="shared" si="0"/>
        <v>32</v>
      </c>
      <c r="E7" s="12">
        <f t="shared" si="1"/>
        <v>133333.33333333334</v>
      </c>
      <c r="F7" s="12">
        <v>16666.666666666668</v>
      </c>
      <c r="G7" s="13">
        <f t="shared" si="2"/>
        <v>533333.33333333337</v>
      </c>
    </row>
    <row r="8" spans="1:11" ht="21.75" customHeight="1">
      <c r="A8" s="8" t="s">
        <v>14</v>
      </c>
      <c r="B8" s="8">
        <f>SUM(B3:B7)</f>
        <v>24</v>
      </c>
      <c r="C8" s="8"/>
      <c r="D8" s="8">
        <f t="shared" ref="D8:F8" si="3">SUM(D3:D7)</f>
        <v>184</v>
      </c>
      <c r="E8" s="14">
        <f t="shared" si="3"/>
        <v>483333.33333333337</v>
      </c>
      <c r="F8" s="14">
        <f t="shared" si="3"/>
        <v>66666.666666666672</v>
      </c>
      <c r="G8" s="14">
        <f>G3+G4+G5+G6+G7</f>
        <v>2433333.3333333335</v>
      </c>
    </row>
    <row r="12" spans="1:11" ht="15" customHeight="1">
      <c r="K12" s="15"/>
    </row>
    <row r="13" spans="1:11" ht="15" customHeight="1">
      <c r="K13" s="15"/>
    </row>
    <row r="14" spans="1:11" ht="15" customHeight="1">
      <c r="K14" s="15"/>
    </row>
    <row r="15" spans="1:11" ht="15" customHeight="1">
      <c r="K15" s="15"/>
    </row>
    <row r="16" spans="1:11" ht="15" customHeight="1">
      <c r="K16" s="15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>
      <selection sqref="A1:D1"/>
    </sheetView>
  </sheetViews>
  <sheetFormatPr baseColWidth="10" defaultColWidth="14.42578125" defaultRowHeight="15" customHeight="1"/>
  <cols>
    <col min="1" max="1" width="25.28515625" customWidth="1"/>
    <col min="2" max="2" width="34.140625" customWidth="1"/>
    <col min="3" max="3" width="33.140625" customWidth="1"/>
    <col min="4" max="4" width="39.28515625" customWidth="1"/>
    <col min="5" max="5" width="35.42578125" customWidth="1"/>
    <col min="6" max="6" width="10.7109375" customWidth="1"/>
  </cols>
  <sheetData>
    <row r="1" spans="1:5" ht="21.75" customHeight="1">
      <c r="A1" s="50" t="s">
        <v>28</v>
      </c>
      <c r="B1" s="51"/>
      <c r="C1" s="51"/>
      <c r="D1" s="51"/>
    </row>
    <row r="2" spans="1:5" ht="29.25" customHeight="1">
      <c r="A2" s="1" t="s">
        <v>16</v>
      </c>
      <c r="B2" s="2" t="s">
        <v>29</v>
      </c>
      <c r="C2" s="2" t="s">
        <v>30</v>
      </c>
      <c r="D2" s="2" t="s">
        <v>31</v>
      </c>
      <c r="E2" s="16" t="s">
        <v>32</v>
      </c>
    </row>
    <row r="3" spans="1:5" ht="97.5" customHeight="1">
      <c r="A3" s="4" t="s">
        <v>33</v>
      </c>
      <c r="B3" s="17" t="s">
        <v>34</v>
      </c>
      <c r="C3" s="12">
        <v>500000</v>
      </c>
      <c r="D3" s="12">
        <f t="shared" ref="D3:D5" si="0">C3*6</f>
        <v>3000000</v>
      </c>
      <c r="E3" s="13">
        <f t="shared" ref="E3:E5" si="1">D3-(D3*0.1)</f>
        <v>2700000</v>
      </c>
    </row>
    <row r="4" spans="1:5" ht="93.75" customHeight="1">
      <c r="A4" s="4" t="s">
        <v>35</v>
      </c>
      <c r="B4" s="17" t="s">
        <v>36</v>
      </c>
      <c r="C4" s="12">
        <v>300000</v>
      </c>
      <c r="D4" s="12">
        <f t="shared" si="0"/>
        <v>1800000</v>
      </c>
      <c r="E4" s="13">
        <f t="shared" si="1"/>
        <v>1620000</v>
      </c>
    </row>
    <row r="5" spans="1:5" ht="65.25" customHeight="1">
      <c r="A5" s="4" t="s">
        <v>37</v>
      </c>
      <c r="B5" s="17" t="s">
        <v>38</v>
      </c>
      <c r="C5" s="12">
        <v>300000</v>
      </c>
      <c r="D5" s="12">
        <f t="shared" si="0"/>
        <v>1800000</v>
      </c>
      <c r="E5" s="13">
        <f t="shared" si="1"/>
        <v>1620000</v>
      </c>
    </row>
    <row r="6" spans="1:5" ht="21.75" customHeight="1">
      <c r="A6" s="8" t="s">
        <v>14</v>
      </c>
      <c r="B6" s="8"/>
      <c r="C6" s="14">
        <f t="shared" ref="C6:E6" si="2">SUM(C2:C5)</f>
        <v>1100000</v>
      </c>
      <c r="D6" s="14">
        <f t="shared" si="2"/>
        <v>6600000</v>
      </c>
      <c r="E6" s="14">
        <f t="shared" si="2"/>
        <v>5940000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workbookViewId="0">
      <selection sqref="A1:B1"/>
    </sheetView>
  </sheetViews>
  <sheetFormatPr baseColWidth="10" defaultColWidth="14.42578125" defaultRowHeight="15" customHeight="1"/>
  <cols>
    <col min="1" max="1" width="43.28515625" customWidth="1"/>
    <col min="2" max="2" width="23.7109375" customWidth="1"/>
    <col min="3" max="6" width="10.7109375" customWidth="1"/>
  </cols>
  <sheetData>
    <row r="1" spans="1:2" ht="21.75" customHeight="1">
      <c r="A1" s="50" t="s">
        <v>39</v>
      </c>
      <c r="B1" s="51"/>
    </row>
    <row r="2" spans="1:2" ht="21.75" customHeight="1">
      <c r="A2" s="1" t="s">
        <v>40</v>
      </c>
      <c r="B2" s="3" t="s">
        <v>22</v>
      </c>
    </row>
    <row r="3" spans="1:2" ht="21.75" customHeight="1">
      <c r="A3" s="4" t="s">
        <v>41</v>
      </c>
      <c r="B3" s="13">
        <v>1750000</v>
      </c>
    </row>
    <row r="4" spans="1:2" ht="21.75" customHeight="1">
      <c r="A4" s="4" t="s">
        <v>42</v>
      </c>
      <c r="B4" s="13">
        <v>1500000</v>
      </c>
    </row>
    <row r="5" spans="1:2" ht="21.75" customHeight="1">
      <c r="A5" s="8" t="s">
        <v>14</v>
      </c>
      <c r="B5" s="14">
        <f>B3+B4</f>
        <v>3250000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ageMargins left="0.7" right="0.7" top="0.75" bottom="0.75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00"/>
  <sheetViews>
    <sheetView workbookViewId="0">
      <selection sqref="A1:C1"/>
    </sheetView>
  </sheetViews>
  <sheetFormatPr baseColWidth="10" defaultColWidth="14.42578125" defaultRowHeight="15" customHeight="1"/>
  <cols>
    <col min="1" max="1" width="37.85546875" customWidth="1"/>
    <col min="2" max="2" width="30.5703125" customWidth="1"/>
    <col min="3" max="3" width="69.5703125" customWidth="1"/>
    <col min="4" max="6" width="10.7109375" customWidth="1"/>
  </cols>
  <sheetData>
    <row r="1" spans="1:3" ht="21.75" customHeight="1">
      <c r="A1" s="50" t="s">
        <v>43</v>
      </c>
      <c r="B1" s="51"/>
      <c r="C1" s="51"/>
    </row>
    <row r="2" spans="1:3" ht="21.75" customHeight="1">
      <c r="A2" s="1" t="s">
        <v>1</v>
      </c>
      <c r="B2" s="2" t="s">
        <v>3</v>
      </c>
      <c r="C2" s="3" t="s">
        <v>44</v>
      </c>
    </row>
    <row r="3" spans="1:3" ht="24" customHeight="1">
      <c r="A3" s="4" t="s">
        <v>5</v>
      </c>
      <c r="B3" s="12">
        <f>VLOOKUP('Recursos Humano (Día)'!A3,'Recursos Humanos'!A3:D11,3,FALSE)</f>
        <v>97955.833333333328</v>
      </c>
      <c r="C3" s="18" t="s">
        <v>45</v>
      </c>
    </row>
    <row r="4" spans="1:3" ht="24" customHeight="1">
      <c r="A4" s="4" t="s">
        <v>6</v>
      </c>
      <c r="B4" s="12">
        <f>VLOOKUP('Recursos Humano (Día)'!A4,'Recursos Humanos'!A4:D12,3,FALSE)</f>
        <v>116666.66666666667</v>
      </c>
      <c r="C4" s="19" t="s">
        <v>46</v>
      </c>
    </row>
    <row r="5" spans="1:3" ht="24" customHeight="1">
      <c r="A5" s="4" t="s">
        <v>7</v>
      </c>
      <c r="B5" s="12">
        <f>VLOOKUP('Recursos Humano (Día)'!A5,'Recursos Humanos'!A5:D13,3,FALSE)</f>
        <v>100000</v>
      </c>
      <c r="C5" s="19" t="s">
        <v>46</v>
      </c>
    </row>
    <row r="6" spans="1:3" ht="24" customHeight="1">
      <c r="A6" s="4" t="s">
        <v>8</v>
      </c>
      <c r="B6" s="12">
        <f>VLOOKUP('Recursos Humano (Día)'!A6,'Recursos Humanos'!A6:D14,3,FALSE)</f>
        <v>100000</v>
      </c>
      <c r="C6" s="19" t="s">
        <v>46</v>
      </c>
    </row>
    <row r="7" spans="1:3" ht="24" customHeight="1">
      <c r="A7" s="4" t="s">
        <v>9</v>
      </c>
      <c r="B7" s="12">
        <f>VLOOKUP('Recursos Humano (Día)'!A7,'Recursos Humanos'!A7:D15,3,FALSE)</f>
        <v>116666.66666666667</v>
      </c>
      <c r="C7" s="19" t="s">
        <v>47</v>
      </c>
    </row>
    <row r="8" spans="1:3" ht="24" customHeight="1">
      <c r="A8" s="4" t="s">
        <v>10</v>
      </c>
      <c r="B8" s="12">
        <f>VLOOKUP('Recursos Humano (Día)'!A8,'Recursos Humanos'!A8:D16,3,FALSE)</f>
        <v>133333.33333333334</v>
      </c>
      <c r="C8" s="19" t="s">
        <v>46</v>
      </c>
    </row>
    <row r="9" spans="1:3" ht="24" customHeight="1">
      <c r="A9" s="4" t="s">
        <v>11</v>
      </c>
      <c r="B9" s="12">
        <f>VLOOKUP('Recursos Humano (Día)'!A9,'Recursos Humanos'!A9:D17,3,FALSE)</f>
        <v>100000</v>
      </c>
      <c r="C9" s="19" t="s">
        <v>46</v>
      </c>
    </row>
    <row r="10" spans="1:3" ht="24" customHeight="1">
      <c r="A10" s="4" t="s">
        <v>12</v>
      </c>
      <c r="B10" s="12">
        <f>VLOOKUP('Recursos Humano (Día)'!A10,'Recursos Humanos'!A10:D18,3,FALSE)</f>
        <v>100000</v>
      </c>
      <c r="C10" s="19" t="s">
        <v>46</v>
      </c>
    </row>
    <row r="11" spans="1:3" ht="24" customHeight="1">
      <c r="A11" s="20" t="s">
        <v>13</v>
      </c>
      <c r="B11" s="21">
        <f>VLOOKUP('Recursos Humano (Día)'!A11,'Recursos Humanos'!A11:D19,3,FALSE)</f>
        <v>151014.43333333332</v>
      </c>
      <c r="C11" s="22" t="s">
        <v>48</v>
      </c>
    </row>
    <row r="12" spans="1:3" ht="24" customHeight="1">
      <c r="A12" s="8" t="s">
        <v>14</v>
      </c>
      <c r="B12" s="14">
        <f>VLOOKUP('Recursos Humano (Día)'!A12,'Recursos Humanos'!A12:D20,3,FALSE)</f>
        <v>1015636.9333333333</v>
      </c>
      <c r="C12" s="2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hyperlinks>
    <hyperlink ref="C3" r:id="rId1" xr:uid="{00000000-0004-0000-0400-000000000000}"/>
    <hyperlink ref="C10" r:id="rId2" xr:uid="{00000000-0004-0000-0400-000001000000}"/>
    <hyperlink ref="C11" r:id="rId3" xr:uid="{00000000-0004-0000-0400-000002000000}"/>
  </hyperlinks>
  <pageMargins left="0.7" right="0.7" top="0.75" bottom="0.75" header="0" footer="0"/>
  <pageSetup orientation="landscape"/>
  <tableParts count="1"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000"/>
  <sheetViews>
    <sheetView workbookViewId="0">
      <selection activeCell="A6" sqref="A6"/>
    </sheetView>
  </sheetViews>
  <sheetFormatPr baseColWidth="10" defaultColWidth="14.42578125" defaultRowHeight="15" customHeight="1"/>
  <cols>
    <col min="1" max="1" width="40.85546875" customWidth="1"/>
    <col min="2" max="2" width="14.140625" bestFit="1" customWidth="1"/>
    <col min="3" max="3" width="37.5703125" customWidth="1"/>
    <col min="4" max="4" width="14.28515625" customWidth="1"/>
    <col min="5" max="5" width="32.42578125" customWidth="1"/>
    <col min="6" max="6" width="24.140625" customWidth="1"/>
    <col min="7" max="8" width="10.7109375" customWidth="1"/>
    <col min="9" max="9" width="40.85546875" customWidth="1"/>
    <col min="10" max="10" width="14.140625" customWidth="1"/>
    <col min="11" max="11" width="40" customWidth="1"/>
    <col min="12" max="12" width="14.28515625" customWidth="1"/>
    <col min="13" max="13" width="32.42578125" customWidth="1"/>
    <col min="14" max="14" width="24.140625" customWidth="1"/>
    <col min="15" max="28" width="10.7109375" customWidth="1"/>
  </cols>
  <sheetData>
    <row r="1" spans="1:14" ht="24" customHeight="1">
      <c r="A1" s="50" t="s">
        <v>49</v>
      </c>
      <c r="B1" s="50"/>
      <c r="C1" s="51"/>
      <c r="D1" s="51"/>
      <c r="E1" s="51"/>
      <c r="F1" s="51"/>
      <c r="I1" s="50" t="s">
        <v>50</v>
      </c>
      <c r="J1" s="50"/>
      <c r="K1" s="51"/>
      <c r="L1" s="51"/>
      <c r="M1" s="51"/>
      <c r="N1" s="51"/>
    </row>
    <row r="2" spans="1:14" ht="21.75" customHeight="1">
      <c r="A2" s="24" t="s">
        <v>51</v>
      </c>
      <c r="B2" s="24" t="s">
        <v>131</v>
      </c>
      <c r="C2" s="24" t="s">
        <v>52</v>
      </c>
      <c r="D2" s="24" t="s">
        <v>53</v>
      </c>
      <c r="E2" s="24" t="s">
        <v>54</v>
      </c>
      <c r="F2" s="24" t="s">
        <v>55</v>
      </c>
      <c r="I2" s="24" t="s">
        <v>51</v>
      </c>
      <c r="J2" s="24" t="s">
        <v>131</v>
      </c>
      <c r="K2" s="24" t="s">
        <v>52</v>
      </c>
      <c r="L2" s="24" t="s">
        <v>53</v>
      </c>
      <c r="M2" s="24" t="s">
        <v>54</v>
      </c>
      <c r="N2" s="24" t="s">
        <v>55</v>
      </c>
    </row>
    <row r="3" spans="1:14" ht="105.75" customHeight="1">
      <c r="A3" s="17" t="s">
        <v>56</v>
      </c>
      <c r="C3" s="17" t="s">
        <v>57</v>
      </c>
      <c r="D3" s="24">
        <v>1</v>
      </c>
      <c r="E3" s="25">
        <v>3957245</v>
      </c>
      <c r="F3" s="25">
        <f>E3*'Servidores Físicos'!$D3</f>
        <v>3957245</v>
      </c>
      <c r="I3" s="17" t="s">
        <v>58</v>
      </c>
      <c r="J3" s="17"/>
      <c r="K3" s="17" t="s">
        <v>59</v>
      </c>
      <c r="L3" s="24">
        <v>1</v>
      </c>
      <c r="M3" s="25">
        <v>5013551</v>
      </c>
      <c r="N3" s="25">
        <f>M3*'Servidores Físicos'!$L3</f>
        <v>5013551</v>
      </c>
    </row>
    <row r="4" spans="1:14" ht="61.5" customHeight="1">
      <c r="A4" s="17" t="s">
        <v>60</v>
      </c>
      <c r="B4" s="17"/>
      <c r="C4" s="17" t="s">
        <v>61</v>
      </c>
      <c r="D4" s="24">
        <v>1</v>
      </c>
      <c r="E4" s="25">
        <v>549206</v>
      </c>
      <c r="F4" s="25">
        <f>E4*'Servidores Físicos'!$D4</f>
        <v>549206</v>
      </c>
      <c r="I4" s="17" t="s">
        <v>60</v>
      </c>
      <c r="J4" s="17"/>
      <c r="K4" s="17" t="s">
        <v>61</v>
      </c>
      <c r="L4" s="24">
        <v>1</v>
      </c>
      <c r="M4" s="25">
        <v>549206</v>
      </c>
      <c r="N4" s="25">
        <f>M4*'Servidores Físicos'!$L4</f>
        <v>549206</v>
      </c>
    </row>
    <row r="5" spans="1:14" ht="60">
      <c r="A5" s="17" t="s">
        <v>62</v>
      </c>
      <c r="B5" s="17"/>
      <c r="C5" s="17" t="s">
        <v>63</v>
      </c>
      <c r="D5" s="24">
        <v>1</v>
      </c>
      <c r="E5" s="25">
        <v>939900</v>
      </c>
      <c r="F5" s="25">
        <f>E5*'Servidores Físicos'!$D5</f>
        <v>939900</v>
      </c>
      <c r="I5" s="17" t="s">
        <v>64</v>
      </c>
      <c r="J5" s="17"/>
      <c r="K5" s="17" t="s">
        <v>63</v>
      </c>
      <c r="L5" s="24">
        <v>1</v>
      </c>
      <c r="M5" s="25">
        <v>595957</v>
      </c>
      <c r="N5" s="25">
        <f>M5*'Servidores Físicos'!$L5</f>
        <v>595957</v>
      </c>
    </row>
    <row r="6" spans="1:14" ht="60">
      <c r="A6" s="26" t="s">
        <v>65</v>
      </c>
      <c r="B6" s="26"/>
      <c r="C6" s="17" t="s">
        <v>66</v>
      </c>
      <c r="D6" s="24">
        <v>1</v>
      </c>
      <c r="E6" s="25">
        <v>1303553</v>
      </c>
      <c r="F6" s="25">
        <f>E6*'Servidores Físicos'!$D6</f>
        <v>1303553</v>
      </c>
      <c r="I6" s="26" t="s">
        <v>67</v>
      </c>
      <c r="J6" s="26"/>
      <c r="K6" s="17" t="s">
        <v>66</v>
      </c>
      <c r="L6" s="24">
        <v>1</v>
      </c>
      <c r="M6" s="25">
        <v>1473800</v>
      </c>
      <c r="N6" s="25">
        <f>M6*'Servidores Físicos'!$L6</f>
        <v>1473800</v>
      </c>
    </row>
    <row r="7" spans="1:14" ht="75">
      <c r="A7" s="17" t="s">
        <v>68</v>
      </c>
      <c r="B7" s="17"/>
      <c r="C7" s="17" t="s">
        <v>69</v>
      </c>
      <c r="D7" s="24">
        <v>1</v>
      </c>
      <c r="E7" s="25">
        <v>1000000</v>
      </c>
      <c r="F7" s="27">
        <f>E7*'Servidores Físicos'!$D7</f>
        <v>1000000</v>
      </c>
      <c r="I7" s="17" t="s">
        <v>68</v>
      </c>
      <c r="J7" s="17"/>
      <c r="K7" s="17" t="s">
        <v>69</v>
      </c>
      <c r="L7" s="24">
        <v>1</v>
      </c>
      <c r="M7" s="25">
        <v>1000000</v>
      </c>
      <c r="N7" s="27">
        <f>M7*'Servidores Físicos'!$L7</f>
        <v>1000000</v>
      </c>
    </row>
    <row r="8" spans="1:14" ht="60">
      <c r="A8" s="28" t="s">
        <v>70</v>
      </c>
      <c r="B8" s="28"/>
      <c r="C8" s="29" t="s">
        <v>71</v>
      </c>
      <c r="D8" s="30">
        <v>1</v>
      </c>
      <c r="E8" s="31">
        <v>120000</v>
      </c>
      <c r="F8" s="32">
        <f>E8*'Servidores Físicos'!$D8</f>
        <v>120000</v>
      </c>
      <c r="I8" s="28" t="s">
        <v>70</v>
      </c>
      <c r="J8" s="28"/>
      <c r="K8" s="29" t="s">
        <v>71</v>
      </c>
      <c r="L8" s="30">
        <v>1</v>
      </c>
      <c r="M8" s="31">
        <v>120000</v>
      </c>
      <c r="N8" s="32">
        <f>M8*'Servidores Físicos'!$L8</f>
        <v>120000</v>
      </c>
    </row>
    <row r="9" spans="1:14" ht="60">
      <c r="A9" s="17" t="s">
        <v>72</v>
      </c>
      <c r="B9" s="17"/>
      <c r="C9" s="17" t="s">
        <v>73</v>
      </c>
      <c r="D9" s="24">
        <v>1</v>
      </c>
      <c r="E9" s="25">
        <v>500000</v>
      </c>
      <c r="F9" s="25">
        <f>E9*'Servidores Físicos'!$D9</f>
        <v>500000</v>
      </c>
      <c r="I9" s="17" t="s">
        <v>72</v>
      </c>
      <c r="J9" s="17"/>
      <c r="K9" s="17" t="s">
        <v>73</v>
      </c>
      <c r="L9" s="24">
        <v>1</v>
      </c>
      <c r="M9" s="25">
        <v>500000</v>
      </c>
      <c r="N9" s="25">
        <f>M9*'Servidores Físicos'!$L9</f>
        <v>500000</v>
      </c>
    </row>
    <row r="10" spans="1:14" ht="25.5" customHeight="1">
      <c r="A10" s="33" t="s">
        <v>14</v>
      </c>
      <c r="B10" s="33"/>
      <c r="C10" s="33"/>
      <c r="D10" s="34">
        <f>SUM('Servidores Físicos'!$D$3:$D$9)</f>
        <v>7</v>
      </c>
      <c r="E10" s="35"/>
      <c r="F10" s="35">
        <f>SUM(F3:F9)</f>
        <v>8369904</v>
      </c>
      <c r="I10" s="33" t="s">
        <v>14</v>
      </c>
      <c r="J10" s="33"/>
      <c r="K10" s="33"/>
      <c r="L10" s="34">
        <f>SUM('Servidores Físicos'!$L$3:$L$9)</f>
        <v>7</v>
      </c>
      <c r="M10" s="35"/>
      <c r="N10" s="35">
        <f>SUM(N3:N9)</f>
        <v>9252514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I1:N1"/>
  </mergeCells>
  <pageMargins left="0.7" right="0.7" top="0.75" bottom="0.75" header="0" footer="0"/>
  <pageSetup orientation="landscape"/>
  <drawing r:id="rId1"/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00"/>
  <sheetViews>
    <sheetView workbookViewId="0">
      <selection activeCell="B3" sqref="B3"/>
    </sheetView>
  </sheetViews>
  <sheetFormatPr baseColWidth="10" defaultColWidth="14.42578125" defaultRowHeight="15" customHeight="1"/>
  <cols>
    <col min="1" max="1" width="40.85546875" customWidth="1"/>
    <col min="2" max="2" width="37.5703125" customWidth="1"/>
    <col min="3" max="3" width="32.42578125" customWidth="1"/>
    <col min="4" max="5" width="10.7109375" customWidth="1"/>
    <col min="6" max="6" width="40.85546875" customWidth="1"/>
    <col min="7" max="7" width="37.5703125" customWidth="1"/>
    <col min="8" max="8" width="32.42578125" customWidth="1"/>
    <col min="9" max="26" width="10.7109375" customWidth="1"/>
  </cols>
  <sheetData>
    <row r="1" spans="1:8" ht="24" customHeight="1">
      <c r="A1" s="50" t="s">
        <v>74</v>
      </c>
      <c r="B1" s="51"/>
      <c r="C1" s="51"/>
      <c r="F1" s="50" t="s">
        <v>75</v>
      </c>
      <c r="G1" s="51"/>
      <c r="H1" s="51"/>
    </row>
    <row r="2" spans="1:8" ht="21.75" customHeight="1">
      <c r="A2" s="24" t="s">
        <v>76</v>
      </c>
      <c r="B2" s="24" t="s">
        <v>77</v>
      </c>
      <c r="C2" s="24" t="s">
        <v>78</v>
      </c>
      <c r="F2" s="24" t="s">
        <v>76</v>
      </c>
      <c r="G2" s="24" t="s">
        <v>77</v>
      </c>
      <c r="H2" s="24" t="s">
        <v>78</v>
      </c>
    </row>
    <row r="3" spans="1:8" ht="240">
      <c r="A3" s="17" t="s">
        <v>79</v>
      </c>
      <c r="B3" s="17" t="s">
        <v>80</v>
      </c>
      <c r="C3" s="25">
        <v>90000</v>
      </c>
      <c r="F3" s="17" t="s">
        <v>81</v>
      </c>
      <c r="G3" s="17" t="s">
        <v>82</v>
      </c>
      <c r="H3" s="25">
        <v>89900</v>
      </c>
    </row>
    <row r="4" spans="1:8" ht="20.25" customHeight="1">
      <c r="A4" s="17" t="s">
        <v>83</v>
      </c>
      <c r="B4" s="17" t="s">
        <v>84</v>
      </c>
      <c r="C4" s="25">
        <v>0</v>
      </c>
      <c r="F4" s="17" t="s">
        <v>83</v>
      </c>
      <c r="G4" s="17" t="s">
        <v>85</v>
      </c>
      <c r="H4" s="25">
        <v>0</v>
      </c>
    </row>
    <row r="5" spans="1:8" ht="20.25" customHeight="1">
      <c r="A5" s="17" t="s">
        <v>86</v>
      </c>
      <c r="B5" s="17" t="s">
        <v>87</v>
      </c>
      <c r="C5" s="25">
        <v>0</v>
      </c>
      <c r="F5" s="17" t="s">
        <v>86</v>
      </c>
      <c r="G5" s="17" t="s">
        <v>88</v>
      </c>
      <c r="H5" s="25">
        <v>0</v>
      </c>
    </row>
    <row r="6" spans="1:8" ht="20.25" customHeight="1">
      <c r="A6" s="26" t="s">
        <v>89</v>
      </c>
      <c r="B6" s="17" t="s">
        <v>88</v>
      </c>
      <c r="C6" s="25">
        <v>0</v>
      </c>
      <c r="F6" s="26" t="s">
        <v>89</v>
      </c>
      <c r="G6" s="17" t="s">
        <v>90</v>
      </c>
      <c r="H6" s="25">
        <v>0</v>
      </c>
    </row>
    <row r="7" spans="1:8" ht="20.25" customHeight="1">
      <c r="A7" s="17" t="s">
        <v>91</v>
      </c>
      <c r="B7" s="17" t="s">
        <v>92</v>
      </c>
      <c r="C7" s="25">
        <v>0</v>
      </c>
      <c r="F7" s="17" t="s">
        <v>91</v>
      </c>
      <c r="G7" s="17" t="s">
        <v>92</v>
      </c>
      <c r="H7" s="25">
        <v>0</v>
      </c>
    </row>
    <row r="8" spans="1:8" ht="25.5" customHeight="1">
      <c r="A8" s="33" t="s">
        <v>14</v>
      </c>
      <c r="B8" s="33"/>
      <c r="C8" s="35">
        <f>SUM(C3:C7)</f>
        <v>90000</v>
      </c>
      <c r="F8" s="33" t="s">
        <v>14</v>
      </c>
      <c r="G8" s="33"/>
      <c r="H8" s="35">
        <f>SUM(H3:H7)</f>
        <v>89900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C1"/>
    <mergeCell ref="F1:H1"/>
  </mergeCells>
  <pageMargins left="0.7" right="0.7" top="0.75" bottom="0.75" header="0" footer="0"/>
  <pageSetup orientation="landscape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000"/>
  <sheetViews>
    <sheetView workbookViewId="0">
      <selection activeCell="F3" sqref="F3"/>
    </sheetView>
  </sheetViews>
  <sheetFormatPr baseColWidth="10" defaultColWidth="14.42578125" defaultRowHeight="15" customHeight="1"/>
  <cols>
    <col min="1" max="1" width="40.85546875" customWidth="1"/>
    <col min="2" max="2" width="19.7109375" customWidth="1"/>
    <col min="3" max="3" width="40.85546875" customWidth="1"/>
    <col min="4" max="4" width="37.5703125" customWidth="1"/>
    <col min="5" max="5" width="14.28515625" customWidth="1"/>
    <col min="6" max="8" width="19.7109375" customWidth="1"/>
    <col min="9" max="9" width="14.7109375" customWidth="1"/>
    <col min="10" max="10" width="17.5703125" customWidth="1"/>
    <col min="11" max="27" width="10.7109375" customWidth="1"/>
  </cols>
  <sheetData>
    <row r="1" spans="1:10" ht="20.25" customHeight="1">
      <c r="A1" s="52" t="s">
        <v>93</v>
      </c>
      <c r="B1" s="52"/>
      <c r="C1" s="53"/>
      <c r="D1" s="53"/>
      <c r="E1" s="53"/>
      <c r="F1" s="53"/>
      <c r="G1" s="53"/>
      <c r="H1" s="53"/>
      <c r="I1" s="53"/>
      <c r="J1" s="53"/>
    </row>
    <row r="2" spans="1:10" ht="21.75" customHeight="1">
      <c r="A2" s="54" t="s">
        <v>94</v>
      </c>
      <c r="B2" s="54" t="s">
        <v>131</v>
      </c>
      <c r="C2" s="54" t="s">
        <v>95</v>
      </c>
      <c r="D2" s="54" t="s">
        <v>96</v>
      </c>
      <c r="E2" s="54" t="s">
        <v>53</v>
      </c>
      <c r="F2" s="56" t="s">
        <v>97</v>
      </c>
      <c r="G2" s="57"/>
      <c r="H2" s="58"/>
      <c r="I2" s="56" t="s">
        <v>98</v>
      </c>
      <c r="J2" s="58"/>
    </row>
    <row r="3" spans="1:10" ht="21.75" customHeight="1">
      <c r="A3" s="55"/>
      <c r="B3" s="59"/>
      <c r="C3" s="55"/>
      <c r="D3" s="55"/>
      <c r="E3" s="55"/>
      <c r="F3" s="36" t="s">
        <v>99</v>
      </c>
      <c r="G3" s="36" t="s">
        <v>100</v>
      </c>
      <c r="H3" s="36" t="s">
        <v>101</v>
      </c>
      <c r="I3" s="36" t="s">
        <v>102</v>
      </c>
      <c r="J3" s="36" t="s">
        <v>103</v>
      </c>
    </row>
    <row r="4" spans="1:10" ht="125.25" customHeight="1">
      <c r="A4" s="17" t="s">
        <v>104</v>
      </c>
      <c r="B4" s="17"/>
      <c r="C4" s="17" t="s">
        <v>105</v>
      </c>
      <c r="D4" s="17" t="s">
        <v>106</v>
      </c>
      <c r="E4" s="24">
        <v>1</v>
      </c>
      <c r="F4" s="25">
        <v>2200000</v>
      </c>
      <c r="G4" s="25">
        <v>2490000</v>
      </c>
      <c r="H4" s="25">
        <v>2150000</v>
      </c>
      <c r="I4" s="37">
        <f t="shared" ref="I4:I6" si="0">MIN(F4:H4)</f>
        <v>2150000</v>
      </c>
      <c r="J4" s="38" t="str">
        <f t="shared" ref="J4:J6" si="1">INDEX($F$3:$H$3, MATCH(I4, F4:H4, 0))</f>
        <v>Éxito</v>
      </c>
    </row>
    <row r="5" spans="1:10" ht="139.5" customHeight="1">
      <c r="A5" s="17" t="s">
        <v>107</v>
      </c>
      <c r="B5" s="17"/>
      <c r="C5" s="17" t="s">
        <v>108</v>
      </c>
      <c r="D5" s="17" t="s">
        <v>109</v>
      </c>
      <c r="E5" s="24">
        <v>1</v>
      </c>
      <c r="F5" s="25">
        <v>2930000</v>
      </c>
      <c r="G5" s="25">
        <v>3309000</v>
      </c>
      <c r="H5" s="25">
        <v>3500000</v>
      </c>
      <c r="I5" s="37">
        <f t="shared" si="0"/>
        <v>2930000</v>
      </c>
      <c r="J5" s="38" t="str">
        <f t="shared" si="1"/>
        <v>Falabella</v>
      </c>
    </row>
    <row r="6" spans="1:10" ht="125.25" customHeight="1">
      <c r="A6" s="39" t="s">
        <v>110</v>
      </c>
      <c r="B6" s="39"/>
      <c r="C6" s="39" t="s">
        <v>111</v>
      </c>
      <c r="D6" s="17" t="s">
        <v>112</v>
      </c>
      <c r="E6" s="24">
        <v>1</v>
      </c>
      <c r="F6" s="25">
        <v>3110000</v>
      </c>
      <c r="G6" s="25">
        <v>3110000</v>
      </c>
      <c r="H6" s="25">
        <v>3449900</v>
      </c>
      <c r="I6" s="37">
        <f t="shared" si="0"/>
        <v>3110000</v>
      </c>
      <c r="J6" s="38" t="str">
        <f t="shared" si="1"/>
        <v>Falabella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J1"/>
    <mergeCell ref="A2:A3"/>
    <mergeCell ref="C2:C3"/>
    <mergeCell ref="D2:D3"/>
    <mergeCell ref="E2:E3"/>
    <mergeCell ref="F2:H2"/>
    <mergeCell ref="I2:J2"/>
    <mergeCell ref="B2:B3"/>
  </mergeCells>
  <pageMargins left="0.7" right="0.7" top="0.75" bottom="0.75" header="0" footer="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000"/>
  <sheetViews>
    <sheetView topLeftCell="A3" workbookViewId="0">
      <selection activeCell="C4" sqref="C4"/>
    </sheetView>
  </sheetViews>
  <sheetFormatPr baseColWidth="10" defaultColWidth="14.42578125" defaultRowHeight="15" customHeight="1"/>
  <cols>
    <col min="1" max="1" width="40.85546875" customWidth="1"/>
    <col min="2" max="2" width="19.7109375" customWidth="1"/>
    <col min="3" max="3" width="40.85546875" customWidth="1"/>
    <col min="4" max="4" width="37.5703125" customWidth="1"/>
    <col min="5" max="5" width="14.28515625" customWidth="1"/>
    <col min="6" max="8" width="19.7109375" customWidth="1"/>
    <col min="9" max="9" width="14.7109375" customWidth="1"/>
    <col min="10" max="10" width="17.5703125" customWidth="1"/>
    <col min="11" max="27" width="10.7109375" customWidth="1"/>
  </cols>
  <sheetData>
    <row r="1" spans="1:11" ht="20.25" customHeight="1">
      <c r="A1" s="52" t="s">
        <v>113</v>
      </c>
      <c r="B1" s="52"/>
      <c r="C1" s="53"/>
      <c r="D1" s="53"/>
      <c r="E1" s="53"/>
      <c r="F1" s="53"/>
      <c r="G1" s="53"/>
      <c r="H1" s="53"/>
      <c r="I1" s="53"/>
      <c r="J1" s="53"/>
      <c r="K1" s="53"/>
    </row>
    <row r="2" spans="1:11" ht="21.75" customHeight="1">
      <c r="A2" s="54" t="s">
        <v>94</v>
      </c>
      <c r="B2" s="54" t="s">
        <v>131</v>
      </c>
      <c r="C2" s="54" t="s">
        <v>95</v>
      </c>
      <c r="D2" s="54" t="s">
        <v>96</v>
      </c>
      <c r="E2" s="54" t="s">
        <v>53</v>
      </c>
      <c r="F2" s="56" t="s">
        <v>97</v>
      </c>
      <c r="G2" s="57"/>
      <c r="H2" s="58"/>
      <c r="I2" s="56" t="s">
        <v>98</v>
      </c>
      <c r="J2" s="57"/>
      <c r="K2" s="58"/>
    </row>
    <row r="3" spans="1:11" ht="21.75" customHeight="1">
      <c r="A3" s="55"/>
      <c r="B3" s="59"/>
      <c r="C3" s="55"/>
      <c r="D3" s="55"/>
      <c r="E3" s="55"/>
      <c r="F3" s="36" t="s">
        <v>99</v>
      </c>
      <c r="G3" s="36" t="s">
        <v>100</v>
      </c>
      <c r="H3" s="36" t="s">
        <v>101</v>
      </c>
      <c r="I3" s="36" t="s">
        <v>102</v>
      </c>
      <c r="J3" s="36" t="s">
        <v>103</v>
      </c>
      <c r="K3" s="36" t="s">
        <v>114</v>
      </c>
    </row>
    <row r="4" spans="1:11" ht="126.75" customHeight="1">
      <c r="A4" s="17" t="s">
        <v>104</v>
      </c>
      <c r="B4" s="17"/>
      <c r="C4" s="17" t="s">
        <v>105</v>
      </c>
      <c r="D4" s="17" t="s">
        <v>106</v>
      </c>
      <c r="E4" s="24">
        <v>2</v>
      </c>
      <c r="F4" s="25">
        <v>2200000</v>
      </c>
      <c r="G4" s="25">
        <v>2490000</v>
      </c>
      <c r="H4" s="25">
        <v>2150000</v>
      </c>
      <c r="I4" s="37">
        <f t="shared" ref="I4:I6" si="0">MIN(F4:H4)</f>
        <v>2150000</v>
      </c>
      <c r="J4" s="38" t="str">
        <f t="shared" ref="J4:J6" si="1">INDEX($F$3:$H$3, MATCH(I4, F4:H4, 0))</f>
        <v>Éxito</v>
      </c>
      <c r="K4" s="35">
        <f t="shared" ref="K4:K6" si="2">I4*E4</f>
        <v>4300000</v>
      </c>
    </row>
    <row r="5" spans="1:11" ht="139.5" customHeight="1">
      <c r="A5" s="17" t="s">
        <v>107</v>
      </c>
      <c r="B5" s="17"/>
      <c r="C5" s="17" t="s">
        <v>108</v>
      </c>
      <c r="D5" s="17" t="s">
        <v>109</v>
      </c>
      <c r="E5" s="24">
        <v>2</v>
      </c>
      <c r="F5" s="25">
        <v>2930000</v>
      </c>
      <c r="G5" s="25">
        <v>3309000</v>
      </c>
      <c r="H5" s="25">
        <v>3500000</v>
      </c>
      <c r="I5" s="37">
        <f t="shared" si="0"/>
        <v>2930000</v>
      </c>
      <c r="J5" s="38" t="str">
        <f t="shared" si="1"/>
        <v>Falabella</v>
      </c>
      <c r="K5" s="35">
        <f t="shared" si="2"/>
        <v>5860000</v>
      </c>
    </row>
    <row r="6" spans="1:11" ht="126" customHeight="1">
      <c r="A6" s="39" t="s">
        <v>110</v>
      </c>
      <c r="B6" s="39"/>
      <c r="C6" s="39" t="s">
        <v>111</v>
      </c>
      <c r="D6" s="17" t="s">
        <v>112</v>
      </c>
      <c r="E6" s="24">
        <v>2</v>
      </c>
      <c r="F6" s="25">
        <v>3110000</v>
      </c>
      <c r="G6" s="25">
        <v>3110000</v>
      </c>
      <c r="H6" s="25">
        <v>3449900</v>
      </c>
      <c r="I6" s="37">
        <f t="shared" si="0"/>
        <v>3110000</v>
      </c>
      <c r="J6" s="38" t="str">
        <f t="shared" si="1"/>
        <v>Falabella</v>
      </c>
      <c r="K6" s="35">
        <f t="shared" si="2"/>
        <v>6220000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K1"/>
    <mergeCell ref="A2:A3"/>
    <mergeCell ref="C2:C3"/>
    <mergeCell ref="D2:D3"/>
    <mergeCell ref="E2:E3"/>
    <mergeCell ref="F2:H2"/>
    <mergeCell ref="I2:K2"/>
    <mergeCell ref="B2:B3"/>
  </mergeCells>
  <pageMargins left="0.7" right="0.7" top="0.75" bottom="0.75" header="0" footer="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999"/>
  <sheetViews>
    <sheetView showGridLines="0" workbookViewId="0">
      <selection activeCell="E9" sqref="E9"/>
    </sheetView>
  </sheetViews>
  <sheetFormatPr baseColWidth="10" defaultColWidth="14.42578125" defaultRowHeight="15" customHeight="1"/>
  <cols>
    <col min="1" max="1" width="33.28515625" customWidth="1"/>
    <col min="2" max="2" width="29.7109375" customWidth="1"/>
    <col min="3" max="3" width="19.5703125" customWidth="1"/>
    <col min="4" max="4" width="33.28515625" customWidth="1"/>
    <col min="5" max="5" width="29.7109375" customWidth="1"/>
    <col min="6" max="6" width="10.7109375" customWidth="1"/>
    <col min="7" max="7" width="33.28515625" customWidth="1"/>
    <col min="8" max="8" width="33.85546875" customWidth="1"/>
    <col min="9" max="9" width="36.7109375" customWidth="1"/>
    <col min="10" max="10" width="31" customWidth="1"/>
  </cols>
  <sheetData>
    <row r="1" spans="1:28" ht="20.25" customHeight="1">
      <c r="A1" s="50" t="s">
        <v>115</v>
      </c>
      <c r="B1" s="51"/>
      <c r="C1" s="40"/>
      <c r="D1" s="50" t="s">
        <v>116</v>
      </c>
      <c r="E1" s="51"/>
      <c r="G1" s="61" t="s">
        <v>133</v>
      </c>
      <c r="H1" s="61"/>
      <c r="I1" s="61"/>
      <c r="J1" s="61"/>
    </row>
    <row r="2" spans="1:28" ht="24.75" customHeight="1">
      <c r="A2" s="63" t="s">
        <v>117</v>
      </c>
      <c r="B2" s="64" t="s">
        <v>118</v>
      </c>
      <c r="C2" s="41"/>
      <c r="D2" s="63" t="s">
        <v>117</v>
      </c>
      <c r="E2" s="64" t="s">
        <v>118</v>
      </c>
      <c r="F2" s="41"/>
      <c r="G2" s="47" t="s">
        <v>130</v>
      </c>
      <c r="H2" s="48" t="s">
        <v>52</v>
      </c>
      <c r="I2" s="49" t="s">
        <v>134</v>
      </c>
      <c r="J2" s="49" t="s">
        <v>136</v>
      </c>
    </row>
    <row r="3" spans="1:28" ht="30.75" customHeight="1">
      <c r="A3" s="65" t="s">
        <v>119</v>
      </c>
      <c r="B3" s="66">
        <f>'Recursos Humanos'!B12</f>
        <v>30469108</v>
      </c>
      <c r="C3" s="42"/>
      <c r="D3" s="65" t="s">
        <v>119</v>
      </c>
      <c r="E3" s="66">
        <f>'Recursos Humanos'!B12</f>
        <v>30469108</v>
      </c>
      <c r="F3" s="43"/>
      <c r="G3" s="62" t="s">
        <v>132</v>
      </c>
      <c r="H3" s="60" t="s">
        <v>135</v>
      </c>
      <c r="I3" s="60" t="s">
        <v>137</v>
      </c>
      <c r="J3" s="60" t="s">
        <v>140</v>
      </c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</row>
    <row r="4" spans="1:28" ht="30.75" customHeight="1">
      <c r="A4" s="65" t="s">
        <v>120</v>
      </c>
      <c r="B4" s="66">
        <f>'Desarrollo Actual'!G8</f>
        <v>2433333.3333333335</v>
      </c>
      <c r="C4" s="42"/>
      <c r="D4" s="65" t="s">
        <v>120</v>
      </c>
      <c r="E4" s="66">
        <f>'Desarrollo Actual'!G8</f>
        <v>2433333.3333333335</v>
      </c>
      <c r="F4" s="43"/>
      <c r="G4" s="62"/>
      <c r="H4" s="60"/>
      <c r="I4" s="60"/>
      <c r="J4" s="60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</row>
    <row r="5" spans="1:28" ht="30.75" customHeight="1">
      <c r="A5" s="65" t="s">
        <v>121</v>
      </c>
      <c r="B5" s="66">
        <f>'Soporte y Mantenimiento'!E6</f>
        <v>5940000</v>
      </c>
      <c r="C5" s="42"/>
      <c r="D5" s="65" t="s">
        <v>121</v>
      </c>
      <c r="E5" s="66">
        <f>'Soporte y Mantenimiento'!E6</f>
        <v>5940000</v>
      </c>
      <c r="F5" s="43"/>
      <c r="G5" s="62"/>
      <c r="H5" s="60"/>
      <c r="I5" s="60"/>
      <c r="J5" s="60" t="s">
        <v>141</v>
      </c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 spans="1:28" ht="30.75" customHeight="1">
      <c r="A6" s="65" t="s">
        <v>122</v>
      </c>
      <c r="B6" s="66">
        <f>'Administración y Documentación'!B5</f>
        <v>3250000</v>
      </c>
      <c r="C6" s="42"/>
      <c r="D6" s="65" t="s">
        <v>122</v>
      </c>
      <c r="E6" s="66">
        <f>'Administración y Documentación'!B5</f>
        <v>3250000</v>
      </c>
      <c r="F6" s="43"/>
      <c r="G6" s="62"/>
      <c r="H6" s="60"/>
      <c r="I6" s="60" t="s">
        <v>138</v>
      </c>
      <c r="J6" s="60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</row>
    <row r="7" spans="1:28" ht="30.75" customHeight="1">
      <c r="A7" s="65" t="s">
        <v>123</v>
      </c>
      <c r="B7" s="66">
        <f>'Servidores Físicos'!F10</f>
        <v>8369904</v>
      </c>
      <c r="C7" s="42"/>
      <c r="D7" s="65" t="s">
        <v>124</v>
      </c>
      <c r="E7" s="66">
        <f>'Servidores Web - Hosting'!C8</f>
        <v>90000</v>
      </c>
      <c r="F7" s="43"/>
      <c r="G7" s="62"/>
      <c r="H7" s="60"/>
      <c r="I7" s="60"/>
      <c r="J7" s="60" t="s">
        <v>142</v>
      </c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</row>
    <row r="8" spans="1:28" ht="30.75" customHeight="1">
      <c r="A8" s="65" t="s">
        <v>125</v>
      </c>
      <c r="B8" s="66">
        <f>'Equipo Desarrolladores'!I4</f>
        <v>2150000</v>
      </c>
      <c r="C8" s="42"/>
      <c r="D8" s="65" t="s">
        <v>125</v>
      </c>
      <c r="E8" s="66">
        <f>'Equipo Desarrolladores'!I4</f>
        <v>2150000</v>
      </c>
      <c r="F8" s="43"/>
      <c r="G8" s="62"/>
      <c r="H8" s="60"/>
      <c r="I8" s="60" t="s">
        <v>139</v>
      </c>
      <c r="J8" s="60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 spans="1:28" ht="30.75" customHeight="1">
      <c r="A9" s="65" t="s">
        <v>126</v>
      </c>
      <c r="B9" s="66">
        <f>'Equipos Consultorio'!K4</f>
        <v>4300000</v>
      </c>
      <c r="C9" s="42"/>
      <c r="D9" s="65" t="s">
        <v>126</v>
      </c>
      <c r="E9" s="66">
        <f>'Equipos Consultorio'!K4</f>
        <v>4300000</v>
      </c>
      <c r="F9" s="43"/>
      <c r="G9" s="62"/>
      <c r="H9" s="60"/>
      <c r="I9" s="60"/>
      <c r="J9" s="60" t="s">
        <v>143</v>
      </c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</row>
    <row r="10" spans="1:28" ht="30.75" customHeight="1">
      <c r="A10" s="67" t="s">
        <v>127</v>
      </c>
      <c r="B10" s="68">
        <f>SUM(B3:B9)</f>
        <v>56912345.333333328</v>
      </c>
      <c r="C10" s="15"/>
      <c r="D10" s="67" t="s">
        <v>127</v>
      </c>
      <c r="E10" s="68">
        <f>SUM(E3:E9)</f>
        <v>48632441.333333328</v>
      </c>
      <c r="F10" s="43"/>
      <c r="G10" s="62"/>
      <c r="H10" s="60"/>
      <c r="I10" s="60"/>
      <c r="J10" s="60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 spans="1:28" ht="6.75" customHeight="1"/>
    <row r="12" spans="1:28" ht="30.75" customHeight="1">
      <c r="A12" s="44" t="s">
        <v>128</v>
      </c>
      <c r="B12" s="45" t="s">
        <v>129</v>
      </c>
      <c r="D12" s="46" t="s">
        <v>128</v>
      </c>
      <c r="E12" s="45" t="s">
        <v>129</v>
      </c>
    </row>
    <row r="13" spans="1:28" ht="15.75" customHeight="1"/>
    <row r="14" spans="1:28" ht="15.75" customHeight="1"/>
    <row r="15" spans="1:28" ht="15.75" customHeight="1"/>
    <row r="16" spans="1:28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2">
    <mergeCell ref="J9:J10"/>
    <mergeCell ref="A1:B1"/>
    <mergeCell ref="D1:E1"/>
    <mergeCell ref="G1:J1"/>
    <mergeCell ref="I3:I5"/>
    <mergeCell ref="I6:I7"/>
    <mergeCell ref="I8:I10"/>
    <mergeCell ref="H3:H10"/>
    <mergeCell ref="G3:G10"/>
    <mergeCell ref="J3:J4"/>
    <mergeCell ref="J5:J6"/>
    <mergeCell ref="J7:J8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Recursos Humanos</vt:lpstr>
      <vt:lpstr>Desarrollo Actual</vt:lpstr>
      <vt:lpstr>Soporte y Mantenimiento</vt:lpstr>
      <vt:lpstr>Administración y Documentación</vt:lpstr>
      <vt:lpstr>Recursos Humano (Día)</vt:lpstr>
      <vt:lpstr>Servidores Físicos</vt:lpstr>
      <vt:lpstr>Servidores Web - Hosting</vt:lpstr>
      <vt:lpstr>Equipo Desarrolladores</vt:lpstr>
      <vt:lpstr>Equipos Consultorio</vt:lpstr>
      <vt:lpstr>Cotización 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APRENDIZ</dc:creator>
  <cp:lastModifiedBy>Jeison Andrey Sosa Espitia</cp:lastModifiedBy>
  <dcterms:created xsi:type="dcterms:W3CDTF">2025-07-03T19:11:29Z</dcterms:created>
  <dcterms:modified xsi:type="dcterms:W3CDTF">2025-12-04T22:50:19Z</dcterms:modified>
</cp:coreProperties>
</file>