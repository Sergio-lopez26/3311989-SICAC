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C:\Jhojan,Sergio y Jeison\3288402 - ADSO\"/>
    </mc:Choice>
  </mc:AlternateContent>
  <xr:revisionPtr revIDLastSave="0" documentId="13_ncr:1_{2CB78239-5C9E-4FA4-8009-609955C317C2}" xr6:coauthVersionLast="47" xr6:coauthVersionMax="47" xr10:uidLastSave="{00000000-0000-0000-0000-000000000000}"/>
  <bookViews>
    <workbookView xWindow="-120" yWindow="-120" windowWidth="29040" windowHeight="15720" tabRatio="690" activeTab="3" xr2:uid="{00000000-000D-0000-FFFF-FFFF00000000}"/>
  </bookViews>
  <sheets>
    <sheet name="Respuestas de formulario" sheetId="1" r:id="rId1"/>
    <sheet name="Pregunta 1" sheetId="2" r:id="rId2"/>
    <sheet name="Pregunta 2" sheetId="4" r:id="rId3"/>
    <sheet name="Pregunta 3" sheetId="5" r:id="rId4"/>
    <sheet name="Pregunta 4" sheetId="7" r:id="rId5"/>
    <sheet name="Pregunta 5" sheetId="9" r:id="rId6"/>
    <sheet name="Pregunta 6" sheetId="10" r:id="rId7"/>
    <sheet name="Pregunta 7" sheetId="11" r:id="rId8"/>
    <sheet name="Pregunta 8" sheetId="12" r:id="rId9"/>
  </sheets>
  <calcPr calcId="191029"/>
  <pivotCaches>
    <pivotCache cacheId="13" r:id="rId10"/>
  </pivotCaches>
</workbook>
</file>

<file path=xl/calcChain.xml><?xml version="1.0" encoding="utf-8"?>
<calcChain xmlns="http://schemas.openxmlformats.org/spreadsheetml/2006/main">
  <c r="G26" i="1" l="1"/>
  <c r="H26" i="1"/>
  <c r="I26" i="1"/>
  <c r="J26" i="1"/>
  <c r="K26" i="1"/>
  <c r="L26" i="1"/>
  <c r="F26" i="1"/>
  <c r="E26" i="1"/>
</calcChain>
</file>

<file path=xl/sharedStrings.xml><?xml version="1.0" encoding="utf-8"?>
<sst xmlns="http://schemas.openxmlformats.org/spreadsheetml/2006/main" count="290" uniqueCount="65">
  <si>
    <t>Marca temporal</t>
  </si>
  <si>
    <t xml:space="preserve">Nombres y Apellidos </t>
  </si>
  <si>
    <t xml:space="preserve">Numero de documento </t>
  </si>
  <si>
    <t xml:space="preserve">Correo Electrónico </t>
  </si>
  <si>
    <t xml:space="preserve">¿Actualmente utiliza algún sistema digital para gestionar las citas de sus pacientes? </t>
  </si>
  <si>
    <t>¿Considera importante que el sistema permita agendar citas en línea?</t>
  </si>
  <si>
    <t xml:space="preserve">¿Le gustaría que el sistema permita  o consultar, programar o cancelar citas fácilmente? </t>
  </si>
  <si>
    <t xml:space="preserve">¿Necesita que el sistema integre mensaje automático de confirmación  para los pacientes? </t>
  </si>
  <si>
    <t xml:space="preserve">¿Es importante para usted que el sistema registre el historial medico  de cada paciente? </t>
  </si>
  <si>
    <t xml:space="preserve">¿Le gustaría que el sistema permita manejar diferentes profesionales o especialistas dentro de la misma plataforma? </t>
  </si>
  <si>
    <t>¿Te gustaría que el software cuente con un sistema de respaldo de la información?</t>
  </si>
  <si>
    <t>¿Te gustaría que el software contara con un modulo de pagos ?</t>
  </si>
  <si>
    <t xml:space="preserve">Oscar Ramirez </t>
  </si>
  <si>
    <t>roscaryecid120@gmail.com</t>
  </si>
  <si>
    <t>No</t>
  </si>
  <si>
    <t>Sí</t>
  </si>
  <si>
    <t>Brayan Camilo cañón mangua</t>
  </si>
  <si>
    <t>mabra103@gmail.com</t>
  </si>
  <si>
    <t xml:space="preserve">Danna Jiménez </t>
  </si>
  <si>
    <t>Azdannafernanda@gmail.com</t>
  </si>
  <si>
    <t>Julieth Tatiana Ramírez Martínez</t>
  </si>
  <si>
    <t>Tatisrami0@gmail.com</t>
  </si>
  <si>
    <t xml:space="preserve">Erica Quintero </t>
  </si>
  <si>
    <t>flak1995.erica@hotmail.com</t>
  </si>
  <si>
    <t xml:space="preserve">Edith Johana Bolaños </t>
  </si>
  <si>
    <t>johana9369@gmail.com</t>
  </si>
  <si>
    <t xml:space="preserve">Juan Camilo Martinez Zambrano </t>
  </si>
  <si>
    <t>martinezzambrano96@gmail.com</t>
  </si>
  <si>
    <t>Sebastian Gordo Malagón</t>
  </si>
  <si>
    <t>sebastiangordo2003@hotmail.com</t>
  </si>
  <si>
    <t>Ruth Sosa Espitia</t>
  </si>
  <si>
    <t>soesmaye@gmail.com</t>
  </si>
  <si>
    <t xml:space="preserve">Mateo Andrés Torres Araque </t>
  </si>
  <si>
    <t>mateot1997@gmail.com</t>
  </si>
  <si>
    <t xml:space="preserve">Ivan Camilo Prada Nuñez </t>
  </si>
  <si>
    <t>ivancamilo123789654@gmail.com</t>
  </si>
  <si>
    <t xml:space="preserve">Keider Benavides Velasquez </t>
  </si>
  <si>
    <t>keidervelasquez2@gmail.com</t>
  </si>
  <si>
    <t>Yineth Melisa Ruiz Forero</t>
  </si>
  <si>
    <t>meliruiz2605@gmail.com</t>
  </si>
  <si>
    <t>Karen Suarez</t>
  </si>
  <si>
    <t>karenjs070@gmail.com</t>
  </si>
  <si>
    <t>sebastiangarzon1903@gmail.com</t>
  </si>
  <si>
    <t>Kevin Fernandez</t>
  </si>
  <si>
    <t>korak107@gmail.com</t>
  </si>
  <si>
    <t>Johana sosa</t>
  </si>
  <si>
    <t>johy09@gmail.com</t>
  </si>
  <si>
    <t xml:space="preserve">Zulma Tolosa Espitia </t>
  </si>
  <si>
    <t>zespitia022@gmail.com</t>
  </si>
  <si>
    <t xml:space="preserve">Daniela Castillo </t>
  </si>
  <si>
    <t>xiokookie20@gmail.com</t>
  </si>
  <si>
    <t xml:space="preserve">Duvan Alirio Hernández Sosa </t>
  </si>
  <si>
    <t>dahsweb@gmail.com</t>
  </si>
  <si>
    <t>Juan David Salazar Rodriguez</t>
  </si>
  <si>
    <t>Juan.daro.2545@gmail.com</t>
  </si>
  <si>
    <t xml:space="preserve">Julio Cesar Gómez </t>
  </si>
  <si>
    <t>Jg8072897@gmail.com</t>
  </si>
  <si>
    <t xml:space="preserve">Katherine Tolosa </t>
  </si>
  <si>
    <t>katherintolosa23@gmail.com</t>
  </si>
  <si>
    <t xml:space="preserve">Mayerly Hernández </t>
  </si>
  <si>
    <t>Yijoh67@gmail.com</t>
  </si>
  <si>
    <t>Etiquetas de fila</t>
  </si>
  <si>
    <t>Total general</t>
  </si>
  <si>
    <t>Totales</t>
  </si>
  <si>
    <t xml:space="preserve">Cuenta de Correo Electrónico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</si>
</sst>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15" xfId="0" applyBorder="1"/>
    <xf numFmtId="0" fontId="0" fillId="0" borderId="13" xfId="0" pivotButton="1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8" xfId="0" applyBorder="1" applyAlignment="1">
      <alignment horizontal="left"/>
    </xf>
    <xf numFmtId="0" fontId="3" fillId="0" borderId="0" xfId="0" applyFont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left" vertical="center"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[Formulario consultorio (Respuestas).xlsx]Pregunta 1!TablaDinámica2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¿Actualmente utiliza algún sistema digital para gestionar las citas de sus pacientes?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</c:pivotFmt>
      <c:pivotFmt>
        <c:idx val="53"/>
      </c:pivotFmt>
      <c:pivotFmt>
        <c:idx val="54"/>
        <c:dLbl>
          <c:idx val="0"/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'Pregunta 1'!$B$1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'Pregunta 1'!$A$2:$A$4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'Pregunta 1'!$B$2:$B$4</c:f>
              <c:numCache>
                <c:formatCode>General</c:formatCode>
                <c:ptCount val="2"/>
                <c:pt idx="0">
                  <c:v>17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0E-4F3A-996C-1F14CB9161C0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465386154461789"/>
          <c:y val="0.55497885680956549"/>
          <c:w val="0.24837055824752671"/>
          <c:h val="0.21494714202391368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[Formulario consultorio (Respuestas).xlsx]Pregunta 2!TablaDinámica3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¿Considera importante que el sistema permita agendar citas en línea?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'Pregunta 2'!$B$1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'Pregunta 2'!$A$2:$A$4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'Pregunta 2'!$B$2:$B$4</c:f>
              <c:numCache>
                <c:formatCode>General</c:formatCode>
                <c:ptCount val="2"/>
                <c:pt idx="0">
                  <c:v>1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52-4A6F-88FF-665C1B5F3D7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220188409450429"/>
          <c:y val="0.55497885680956549"/>
          <c:w val="0.34731318943207473"/>
          <c:h val="0.21494714202391368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[Formulario consultorio (Respuestas).xlsx]Pregunta 3!TablaDinámica1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¿Le gustaría que el sistema permita  o consultar, programar o cancelar citas fácilmente?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'Pregunta 3'!$B$1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'Pregunta 3'!$A$2:$A$3</c:f>
              <c:strCache>
                <c:ptCount val="1"/>
                <c:pt idx="0">
                  <c:v>Sí</c:v>
                </c:pt>
              </c:strCache>
            </c:strRef>
          </c:cat>
          <c:val>
            <c:numRef>
              <c:f>'Pregunta 3'!$B$2:$B$3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8D-4291-8668-7C759753114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144053601340032"/>
          <c:y val="0.59189924176144648"/>
          <c:w val="0.36850921273031828"/>
          <c:h val="0.14110673665791776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[Formulario consultorio (Respuestas).xlsx]Pregunta 4!TablaDinámica2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¿Necesita que el sistema integre mensaje automático de confirmación  para los pacientes?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'Pregunta 4'!$B$1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'Pregunta 4'!$A$2:$A$3</c:f>
              <c:strCache>
                <c:ptCount val="1"/>
                <c:pt idx="0">
                  <c:v>Sí</c:v>
                </c:pt>
              </c:strCache>
            </c:strRef>
          </c:cat>
          <c:val>
            <c:numRef>
              <c:f>'Pregunta 4'!$B$2:$B$3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E-44DF-82BA-C4094725A78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257581236939109"/>
          <c:y val="0.6398159084281132"/>
          <c:w val="0.3560605529616212"/>
          <c:h val="0.14110673665791776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[Formulario consultorio (Respuestas).xlsx]Pregunta 5!TablaDinámica3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¿Es importante para usted que el sistema registre el historial medico  de cada paciente?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'Pregunta 5'!$B$1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'Pregunta 5'!$A$2:$A$4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'Pregunta 5'!$B$2:$B$4</c:f>
              <c:numCache>
                <c:formatCode>General</c:formatCode>
                <c:ptCount val="2"/>
                <c:pt idx="0">
                  <c:v>4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2-4562-9D7A-139A821E632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29963132212226"/>
          <c:y val="0.55497885680956549"/>
          <c:w val="0.38576773337937814"/>
          <c:h val="0.21494714202391368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[Formulario consultorio (Respuestas).xlsx]Pregunta 6!TablaDinámica4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¿Le gustaría que el sistema permita manejar diferentes profesionales o especialistas dentro de la misma plataforma?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'Pregunta 6'!$B$1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'Pregunta 6'!$A$2:$A$4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'Pregunta 6'!$B$2:$B$4</c:f>
              <c:numCache>
                <c:formatCode>General</c:formatCode>
                <c:ptCount val="2"/>
                <c:pt idx="0">
                  <c:v>2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2-4FF3-8E74-9F79B4F4284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791559480787619"/>
          <c:y val="0.6028955234762321"/>
          <c:w val="0.35130273555861147"/>
          <c:h val="0.21494714202391368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[Formulario consultorio (Respuestas).xlsx]Pregunta 7!TablaDinámica5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¿Te gustaría que el software cuente con un sistema de respaldo de la información?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'Pregunta 7'!$B$1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'Pregunta 7'!$A$2:$A$3</c:f>
              <c:strCache>
                <c:ptCount val="1"/>
                <c:pt idx="0">
                  <c:v>Sí</c:v>
                </c:pt>
              </c:strCache>
            </c:strRef>
          </c:cat>
          <c:val>
            <c:numRef>
              <c:f>'Pregunta 7'!$B$2:$B$3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A-49DE-868F-244DA7895C8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797758442042161"/>
          <c:y val="0.59189924176144648"/>
          <c:w val="0.37078646218017897"/>
          <c:h val="0.14110673665791776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[Formulario consultorio (Respuestas).xlsx]Pregunta 8!TablaDinámica6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¿Te gustaría que el software contara con un modulo de pagos 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'Pregunta 8'!$B$1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'Pregunta 8'!$A$2:$A$4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'Pregunta 8'!$B$2:$B$4</c:f>
              <c:numCache>
                <c:formatCode>General</c:formatCode>
                <c:ptCount val="2"/>
                <c:pt idx="0">
                  <c:v>4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7-466E-BC07-F63702416F9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46702317290553"/>
          <c:y val="0.55497885680956549"/>
          <c:w val="0.40463458110516937"/>
          <c:h val="0.21494714202391368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9525</xdr:rowOff>
    </xdr:from>
    <xdr:to>
      <xdr:col>9</xdr:col>
      <xdr:colOff>952500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4A1317-D66A-674F-0E00-2B89E329C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266699</xdr:colOff>
      <xdr:row>0</xdr:row>
      <xdr:rowOff>0</xdr:rowOff>
    </xdr:from>
    <xdr:to>
      <xdr:col>12</xdr:col>
      <xdr:colOff>409575</xdr:colOff>
      <xdr:row>16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629D36-C226-46B7-69F1-2A3504134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0</xdr:row>
      <xdr:rowOff>0</xdr:rowOff>
    </xdr:from>
    <xdr:to>
      <xdr:col>12</xdr:col>
      <xdr:colOff>714375</xdr:colOff>
      <xdr:row>16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C0AE63-60A4-C862-9DB3-C397A8C78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209549</xdr:colOff>
      <xdr:row>0</xdr:row>
      <xdr:rowOff>0</xdr:rowOff>
    </xdr:from>
    <xdr:to>
      <xdr:col>11</xdr:col>
      <xdr:colOff>561975</xdr:colOff>
      <xdr:row>16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020A38-5573-A358-1495-89C0B1547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0</xdr:row>
      <xdr:rowOff>0</xdr:rowOff>
    </xdr:from>
    <xdr:to>
      <xdr:col>11</xdr:col>
      <xdr:colOff>695325</xdr:colOff>
      <xdr:row>16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41D400-640D-3642-46EB-BC3153C87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257174</xdr:colOff>
      <xdr:row>0</xdr:row>
      <xdr:rowOff>0</xdr:rowOff>
    </xdr:from>
    <xdr:to>
      <xdr:col>12</xdr:col>
      <xdr:colOff>209550</xdr:colOff>
      <xdr:row>16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43E58F-43B5-C680-B8A6-D36400659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0</xdr:row>
      <xdr:rowOff>0</xdr:rowOff>
    </xdr:from>
    <xdr:to>
      <xdr:col>11</xdr:col>
      <xdr:colOff>704850</xdr:colOff>
      <xdr:row>16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15F58D-FE69-9C4B-80AF-E0C05A9F9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12</xdr:col>
      <xdr:colOff>266700</xdr:colOff>
      <xdr:row>16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DBE401-2C3D-2829-7C09-FDF62CC8D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biente" refreshedDate="45923.560501736109" createdVersion="8" refreshedVersion="8" minRefreshableVersion="3" recordCount="24" xr:uid="{0635498B-5877-4E38-9A5C-202BFE96CACF}">
  <cacheSource type="worksheet">
    <worksheetSource name="Form_Responses"/>
  </cacheSource>
  <cacheFields count="12">
    <cacheField name="Marca temporal" numFmtId="164">
      <sharedItems containsSemiMixedTypes="0" containsNonDate="0" containsDate="1" containsString="0" minDate="2025-09-18T11:23:10" maxDate="2025-09-22T15:07:53"/>
    </cacheField>
    <cacheField name="Nombres y Apellidos " numFmtId="0">
      <sharedItems count="24">
        <s v="Oscar Ramirez "/>
        <s v="Brayan Camilo cañón mangua"/>
        <s v="Danna Jiménez "/>
        <s v="Julieth Tatiana Ramírez Martínez"/>
        <s v="Erica Quintero "/>
        <s v="Edith Johana Bolaños "/>
        <s v="Juan Camilo Martinez Zambrano "/>
        <s v="Sebastian Gordo Malagón"/>
        <s v="Ruth Sosa Espitia"/>
        <s v="Mateo Andrés Torres Araque "/>
        <s v="Ivan Camilo Prada Nuñez "/>
        <s v="Keider Benavides Velasquez "/>
        <s v="Yineth Melisa Ruiz Forero"/>
        <s v="Karen Suarez"/>
        <s v="No"/>
        <s v="Kevin Fernandez"/>
        <s v="Johana sosa"/>
        <s v="Zulma Tolosa Espitia "/>
        <s v="Daniela Castillo "/>
        <s v="Duvan Alirio Hernández Sosa "/>
        <s v="Juan David Salazar Rodriguez"/>
        <s v="Julio Cesar Gómez "/>
        <s v="Katherine Tolosa "/>
        <s v="Mayerly Hernández "/>
      </sharedItems>
    </cacheField>
    <cacheField name="Numero de documento " numFmtId="0">
      <sharedItems containsSemiMixedTypes="0" containsString="0" containsNumber="1" containsInteger="1" minValue="107594525" maxValue="10100890463"/>
    </cacheField>
    <cacheField name="Correo Electrónico " numFmtId="0">
      <sharedItems count="24">
        <s v="roscaryecid120@gmail.com"/>
        <s v="mabra103@gmail.com"/>
        <s v="Azdannafernanda@gmail.com"/>
        <s v="Tatisrami0@gmail.com"/>
        <s v="flak1995.erica@hotmail.com"/>
        <s v="johana9369@gmail.com"/>
        <s v="martinezzambrano96@gmail.com"/>
        <s v="sebastiangordo2003@hotmail.com"/>
        <s v="soesmaye@gmail.com"/>
        <s v="mateot1997@gmail.com"/>
        <s v="ivancamilo123789654@gmail.com"/>
        <s v="keidervelasquez2@gmail.com"/>
        <s v="meliruiz2605@gmail.com"/>
        <s v="karenjs070@gmail.com"/>
        <s v="sebastiangarzon1903@gmail.com"/>
        <s v="korak107@gmail.com"/>
        <s v="johy09@gmail.com"/>
        <s v="zespitia022@gmail.com"/>
        <s v="xiokookie20@gmail.com"/>
        <s v="dahsweb@gmail.com"/>
        <s v="Juan.daro.2545@gmail.com"/>
        <s v="Jg8072897@gmail.com"/>
        <s v="katherintolosa23@gmail.com"/>
        <s v="Yijoh67@gmail.com"/>
      </sharedItems>
    </cacheField>
    <cacheField name="¿Actualmente utiliza algún sistema digital para gestionar las citas de sus pacientes? " numFmtId="0">
      <sharedItems count="2">
        <s v="No"/>
        <s v="Sí"/>
      </sharedItems>
    </cacheField>
    <cacheField name="¿Considera importante que el sistema permita agendar citas en línea?" numFmtId="0">
      <sharedItems count="2">
        <s v="Sí"/>
        <s v="No"/>
      </sharedItems>
    </cacheField>
    <cacheField name="¿Le gustaría que el sistema permita  o consultar, programar o cancelar citas fácilmente? " numFmtId="0">
      <sharedItems count="1">
        <s v="Sí"/>
      </sharedItems>
    </cacheField>
    <cacheField name="¿Necesita que el sistema integre mensaje automático de confirmación  para los pacientes? " numFmtId="0">
      <sharedItems count="1">
        <s v="Sí"/>
      </sharedItems>
    </cacheField>
    <cacheField name="¿Es importante para usted que el sistema registre el historial medico  de cada paciente? " numFmtId="0">
      <sharedItems count="2">
        <s v="Sí"/>
        <s v="No"/>
      </sharedItems>
    </cacheField>
    <cacheField name="¿Le gustaría que el sistema permita manejar diferentes profesionales o especialistas dentro de la misma plataforma? " numFmtId="0">
      <sharedItems count="2">
        <s v="Sí"/>
        <s v="No"/>
      </sharedItems>
    </cacheField>
    <cacheField name="¿Te gustaría que el software cuente con un sistema de respaldo de la información?" numFmtId="0">
      <sharedItems count="1">
        <s v="Sí"/>
      </sharedItems>
    </cacheField>
    <cacheField name="¿Te gustaría que el software contara con un modulo de pagos ?" numFmtId="0">
      <sharedItems count="2">
        <s v="Sí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5-09-18T11:23:10"/>
    <x v="0"/>
    <n v="1007450487"/>
    <x v="0"/>
    <x v="0"/>
    <x v="0"/>
    <x v="0"/>
    <x v="0"/>
    <x v="0"/>
    <x v="0"/>
    <x v="0"/>
    <x v="0"/>
  </r>
  <r>
    <d v="2025-09-18T12:01:37"/>
    <x v="1"/>
    <n v="1233502296"/>
    <x v="1"/>
    <x v="0"/>
    <x v="0"/>
    <x v="0"/>
    <x v="0"/>
    <x v="0"/>
    <x v="0"/>
    <x v="0"/>
    <x v="0"/>
  </r>
  <r>
    <d v="2025-09-18T12:52:48"/>
    <x v="2"/>
    <n v="1050607268"/>
    <x v="2"/>
    <x v="0"/>
    <x v="0"/>
    <x v="0"/>
    <x v="0"/>
    <x v="0"/>
    <x v="0"/>
    <x v="0"/>
    <x v="0"/>
  </r>
  <r>
    <d v="2025-09-18T17:17:00"/>
    <x v="3"/>
    <n v="1075661172"/>
    <x v="3"/>
    <x v="0"/>
    <x v="0"/>
    <x v="0"/>
    <x v="0"/>
    <x v="1"/>
    <x v="0"/>
    <x v="0"/>
    <x v="1"/>
  </r>
  <r>
    <d v="2025-09-19T14:28:00"/>
    <x v="4"/>
    <n v="1033784878"/>
    <x v="4"/>
    <x v="0"/>
    <x v="0"/>
    <x v="0"/>
    <x v="0"/>
    <x v="0"/>
    <x v="0"/>
    <x v="0"/>
    <x v="0"/>
  </r>
  <r>
    <d v="2025-09-19T23:01:27"/>
    <x v="5"/>
    <n v="107594525"/>
    <x v="5"/>
    <x v="0"/>
    <x v="0"/>
    <x v="0"/>
    <x v="0"/>
    <x v="0"/>
    <x v="0"/>
    <x v="0"/>
    <x v="0"/>
  </r>
  <r>
    <d v="2025-09-22T10:11:14"/>
    <x v="6"/>
    <n v="1013122199"/>
    <x v="6"/>
    <x v="0"/>
    <x v="0"/>
    <x v="0"/>
    <x v="0"/>
    <x v="1"/>
    <x v="0"/>
    <x v="0"/>
    <x v="0"/>
  </r>
  <r>
    <d v="2025-09-22T10:16:31"/>
    <x v="7"/>
    <n v="1001219220"/>
    <x v="7"/>
    <x v="0"/>
    <x v="0"/>
    <x v="0"/>
    <x v="0"/>
    <x v="0"/>
    <x v="0"/>
    <x v="0"/>
    <x v="0"/>
  </r>
  <r>
    <d v="2025-09-22T10:19:05"/>
    <x v="8"/>
    <n v="1014185299"/>
    <x v="8"/>
    <x v="1"/>
    <x v="0"/>
    <x v="0"/>
    <x v="0"/>
    <x v="0"/>
    <x v="0"/>
    <x v="0"/>
    <x v="0"/>
  </r>
  <r>
    <d v="2025-09-22T10:22:37"/>
    <x v="9"/>
    <n v="1233489362"/>
    <x v="9"/>
    <x v="1"/>
    <x v="0"/>
    <x v="0"/>
    <x v="0"/>
    <x v="0"/>
    <x v="0"/>
    <x v="0"/>
    <x v="0"/>
  </r>
  <r>
    <d v="2025-09-22T10:22:45"/>
    <x v="10"/>
    <n v="1025529671"/>
    <x v="10"/>
    <x v="0"/>
    <x v="1"/>
    <x v="0"/>
    <x v="0"/>
    <x v="0"/>
    <x v="0"/>
    <x v="0"/>
    <x v="0"/>
  </r>
  <r>
    <d v="2025-09-22T10:23:51"/>
    <x v="11"/>
    <n v="1066085347"/>
    <x v="11"/>
    <x v="0"/>
    <x v="0"/>
    <x v="0"/>
    <x v="0"/>
    <x v="1"/>
    <x v="1"/>
    <x v="0"/>
    <x v="0"/>
  </r>
  <r>
    <d v="2025-09-22T10:24:50"/>
    <x v="12"/>
    <n v="1050606824"/>
    <x v="12"/>
    <x v="0"/>
    <x v="0"/>
    <x v="0"/>
    <x v="0"/>
    <x v="0"/>
    <x v="0"/>
    <x v="0"/>
    <x v="1"/>
  </r>
  <r>
    <d v="2025-09-22T10:31:48"/>
    <x v="13"/>
    <n v="1010037093"/>
    <x v="13"/>
    <x v="0"/>
    <x v="0"/>
    <x v="0"/>
    <x v="0"/>
    <x v="1"/>
    <x v="0"/>
    <x v="0"/>
    <x v="1"/>
  </r>
  <r>
    <d v="2025-09-22T10:32:59"/>
    <x v="14"/>
    <n v="1023894723"/>
    <x v="14"/>
    <x v="1"/>
    <x v="0"/>
    <x v="0"/>
    <x v="0"/>
    <x v="0"/>
    <x v="0"/>
    <x v="0"/>
    <x v="0"/>
  </r>
  <r>
    <d v="2025-09-22T10:34:31"/>
    <x v="15"/>
    <n v="1014387022"/>
    <x v="15"/>
    <x v="0"/>
    <x v="0"/>
    <x v="0"/>
    <x v="0"/>
    <x v="0"/>
    <x v="0"/>
    <x v="0"/>
    <x v="0"/>
  </r>
  <r>
    <d v="2025-09-22T10:36:07"/>
    <x v="16"/>
    <n v="1022357825"/>
    <x v="16"/>
    <x v="0"/>
    <x v="0"/>
    <x v="0"/>
    <x v="0"/>
    <x v="0"/>
    <x v="1"/>
    <x v="0"/>
    <x v="0"/>
  </r>
  <r>
    <d v="2025-09-22T10:42:42"/>
    <x v="17"/>
    <n v="1193519780"/>
    <x v="17"/>
    <x v="1"/>
    <x v="0"/>
    <x v="0"/>
    <x v="0"/>
    <x v="0"/>
    <x v="0"/>
    <x v="0"/>
    <x v="0"/>
  </r>
  <r>
    <d v="2025-09-22T10:55:41"/>
    <x v="18"/>
    <n v="1010123711"/>
    <x v="18"/>
    <x v="1"/>
    <x v="0"/>
    <x v="0"/>
    <x v="0"/>
    <x v="0"/>
    <x v="0"/>
    <x v="0"/>
    <x v="0"/>
  </r>
  <r>
    <d v="2025-09-22T11:22:28"/>
    <x v="19"/>
    <n v="1049616344"/>
    <x v="19"/>
    <x v="1"/>
    <x v="0"/>
    <x v="0"/>
    <x v="0"/>
    <x v="0"/>
    <x v="0"/>
    <x v="0"/>
    <x v="0"/>
  </r>
  <r>
    <d v="2025-09-22T11:56:50"/>
    <x v="20"/>
    <n v="1233511548"/>
    <x v="20"/>
    <x v="0"/>
    <x v="0"/>
    <x v="0"/>
    <x v="0"/>
    <x v="0"/>
    <x v="0"/>
    <x v="0"/>
    <x v="1"/>
  </r>
  <r>
    <d v="2025-09-22T12:52:48"/>
    <x v="21"/>
    <n v="1016005504"/>
    <x v="21"/>
    <x v="0"/>
    <x v="0"/>
    <x v="0"/>
    <x v="0"/>
    <x v="0"/>
    <x v="0"/>
    <x v="0"/>
    <x v="0"/>
  </r>
  <r>
    <d v="2025-09-22T12:54:40"/>
    <x v="22"/>
    <n v="1110086001"/>
    <x v="22"/>
    <x v="1"/>
    <x v="0"/>
    <x v="0"/>
    <x v="0"/>
    <x v="0"/>
    <x v="0"/>
    <x v="0"/>
    <x v="0"/>
  </r>
  <r>
    <d v="2025-09-22T15:07:53"/>
    <x v="23"/>
    <n v="10100890463"/>
    <x v="23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6DA6F-9B07-45D1-8245-BBA0D046D2A3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B4" firstHeaderRow="1" firstDataRow="1" firstDataCol="1"/>
  <pivotFields count="12">
    <pivotField numFmtId="164" showAll="0"/>
    <pivotField showAll="0">
      <items count="25">
        <item x="1"/>
        <item x="18"/>
        <item x="2"/>
        <item x="19"/>
        <item x="5"/>
        <item x="4"/>
        <item x="10"/>
        <item x="16"/>
        <item x="6"/>
        <item x="20"/>
        <item x="3"/>
        <item x="21"/>
        <item x="13"/>
        <item x="22"/>
        <item x="11"/>
        <item x="15"/>
        <item x="9"/>
        <item x="23"/>
        <item x="14"/>
        <item x="0"/>
        <item x="8"/>
        <item x="7"/>
        <item x="12"/>
        <item x="17"/>
        <item t="default"/>
      </items>
    </pivotField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uenta de Correo Electrónico " fld="3" subtotal="count" baseField="0" baseItem="0"/>
  </dataFields>
  <chartFormats count="1">
    <chartFormat chart="0" format="5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2B4E4-6DC1-4A75-862C-FB600F20681B}" name="TablaDiná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B4" firstHeaderRow="1" firstDataRow="1" firstDataCol="1"/>
  <pivotFields count="12">
    <pivotField numFmtId="164" showAll="0"/>
    <pivotField showAll="0">
      <items count="25">
        <item x="1"/>
        <item x="18"/>
        <item x="2"/>
        <item x="19"/>
        <item x="5"/>
        <item x="4"/>
        <item x="10"/>
        <item x="16"/>
        <item x="6"/>
        <item x="20"/>
        <item x="3"/>
        <item x="21"/>
        <item x="13"/>
        <item x="22"/>
        <item x="11"/>
        <item x="15"/>
        <item x="9"/>
        <item x="23"/>
        <item x="14"/>
        <item x="0"/>
        <item x="8"/>
        <item x="7"/>
        <item x="12"/>
        <item x="17"/>
        <item t="default"/>
      </items>
    </pivotField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uenta de Correo Electrónico " fld="3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331604-3A95-407C-9487-76DFE637E71F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B3" firstHeaderRow="1" firstDataRow="1" firstDataCol="1"/>
  <pivotFields count="12">
    <pivotField numFmtId="164" showAll="0"/>
    <pivotField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2">
    <i>
      <x/>
    </i>
    <i t="grand">
      <x/>
    </i>
  </rowItems>
  <colItems count="1">
    <i/>
  </colItems>
  <dataFields count="1">
    <dataField name="Cuenta de Correo Electrónico " fld="3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C2A8B-4C14-4626-A6EC-3F6C62CF79BA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3" firstHeaderRow="1" firstDataRow="1" firstDataCol="1"/>
  <pivotFields count="12">
    <pivotField numFmtId="164" showAll="0"/>
    <pivotField showAll="0"/>
    <pivotField showAll="0"/>
    <pivotField dataField="1"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</pivotFields>
  <rowFields count="1">
    <field x="7"/>
  </rowFields>
  <rowItems count="2">
    <i>
      <x/>
    </i>
    <i t="grand">
      <x/>
    </i>
  </rowItems>
  <colItems count="1">
    <i/>
  </colItems>
  <dataFields count="1">
    <dataField name="Cuenta de Correo Electrónico 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D6255-298D-423D-9230-98B4D416B9CB}" name="TablaDiná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12">
    <pivotField numFmtId="164" showAll="0"/>
    <pivotField showAll="0"/>
    <pivotField showAll="0"/>
    <pivotField dataField="1" showAll="0">
      <items count="25">
        <item x="2"/>
        <item x="19"/>
        <item x="4"/>
        <item x="10"/>
        <item x="21"/>
        <item x="5"/>
        <item x="16"/>
        <item x="20"/>
        <item x="13"/>
        <item x="22"/>
        <item x="11"/>
        <item x="15"/>
        <item x="1"/>
        <item x="6"/>
        <item x="9"/>
        <item x="12"/>
        <item x="0"/>
        <item x="14"/>
        <item x="7"/>
        <item x="8"/>
        <item x="3"/>
        <item x="18"/>
        <item x="23"/>
        <item x="17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uenta de Correo Electrónico 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DBA7E-3E56-4347-8CA1-162E57EEC665}" name="TablaDiná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12"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uenta de Correo Electrónico 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AF6F8-F9E5-455A-8600-3B6417E1F6FA}" name="TablaDinámica5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3" firstHeaderRow="1" firstDataRow="1" firstDataCol="1"/>
  <pivotFields count="12"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</pivotFields>
  <rowFields count="1">
    <field x="10"/>
  </rowFields>
  <rowItems count="2">
    <i>
      <x/>
    </i>
    <i t="grand">
      <x/>
    </i>
  </rowItems>
  <colItems count="1">
    <i/>
  </colItems>
  <dataFields count="1">
    <dataField name="Cuenta de Correo Electrónico 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409E3-6A2F-46B7-BE55-7ED7905F10DF}" name="TablaDinámica6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12"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uenta de Correo Electrónico 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26" totalsRowCount="1" headerRowDxfId="1">
  <autoFilter ref="A1:L25" xr:uid="{00000000-000C-0000-FFFF-FFFF00000000}"/>
  <tableColumns count="12">
    <tableColumn id="1" xr3:uid="{00000000-0010-0000-0000-000001000000}" name="Marca temporal" totalsRowLabel="Totales" totalsRowDxfId="0"/>
    <tableColumn id="2" xr3:uid="{00000000-0010-0000-0000-000002000000}" name="Nombres y Apellidos "/>
    <tableColumn id="3" xr3:uid="{00000000-0010-0000-0000-000003000000}" name="Numero de documento "/>
    <tableColumn id="4" xr3:uid="{00000000-0010-0000-0000-000004000000}" name="Correo Electrónico "/>
    <tableColumn id="5" xr3:uid="{00000000-0010-0000-0000-000005000000}" name="¿Actualmente utiliza algún sistema digital para gestionar las citas de sus pacientes? " totalsRowFunction="count"/>
    <tableColumn id="6" xr3:uid="{00000000-0010-0000-0000-000006000000}" name="¿Considera importante que el sistema permita agendar citas en línea?" totalsRowFunction="count"/>
    <tableColumn id="7" xr3:uid="{00000000-0010-0000-0000-000007000000}" name="¿Le gustaría que el sistema permita  o consultar, programar o cancelar citas fácilmente? " totalsRowFunction="count"/>
    <tableColumn id="8" xr3:uid="{00000000-0010-0000-0000-000008000000}" name="¿Necesita que el sistema integre mensaje automático de confirmación  para los pacientes? " totalsRowFunction="count"/>
    <tableColumn id="9" xr3:uid="{00000000-0010-0000-0000-000009000000}" name="¿Es importante para usted que el sistema registre el historial medico  de cada paciente? " totalsRowFunction="count"/>
    <tableColumn id="10" xr3:uid="{00000000-0010-0000-0000-00000A000000}" name="¿Le gustaría que el sistema permita manejar diferentes profesionales o especialistas dentro de la misma plataforma? " totalsRowFunction="count"/>
    <tableColumn id="11" xr3:uid="{00000000-0010-0000-0000-00000B000000}" name="¿Te gustaría que el software cuente con un sistema de respaldo de la información?" totalsRowFunction="count"/>
    <tableColumn id="12" xr3:uid="{00000000-0010-0000-0000-00000C000000}" name="¿Te gustaría que el software contara con un modulo de pagos ?" totalsRowFunction="count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opLeftCell="H1" zoomScale="115" zoomScaleNormal="115" workbookViewId="0">
      <pane ySplit="1" topLeftCell="A2" activePane="bottomLeft" state="frozen"/>
      <selection pane="bottomLeft" activeCell="L1" sqref="L1"/>
    </sheetView>
  </sheetViews>
  <sheetFormatPr baseColWidth="10" defaultColWidth="12.5703125" defaultRowHeight="15.75" customHeight="1" x14ac:dyDescent="0.2"/>
  <cols>
    <col min="1" max="1" width="18.85546875" customWidth="1"/>
    <col min="2" max="2" width="20.7109375" customWidth="1"/>
    <col min="3" max="3" width="22.42578125" customWidth="1"/>
    <col min="4" max="4" width="19.28515625" customWidth="1"/>
    <col min="5" max="5" width="42" customWidth="1"/>
    <col min="6" max="6" width="43.140625" customWidth="1"/>
    <col min="7" max="12" width="37.5703125" customWidth="1"/>
    <col min="13" max="18" width="18.85546875" customWidth="1"/>
  </cols>
  <sheetData>
    <row r="1" spans="1:12" s="10" customFormat="1" ht="49.5" customHeight="1" x14ac:dyDescent="0.2">
      <c r="A1" s="1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3" t="s">
        <v>11</v>
      </c>
    </row>
    <row r="2" spans="1:12" ht="12.75" x14ac:dyDescent="0.2">
      <c r="A2" s="1">
        <v>45918.474424560191</v>
      </c>
      <c r="B2" s="2" t="s">
        <v>12</v>
      </c>
      <c r="C2" s="2">
        <v>1007450487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3" t="s">
        <v>15</v>
      </c>
    </row>
    <row r="3" spans="1:12" ht="12.75" x14ac:dyDescent="0.2">
      <c r="A3" s="4">
        <v>45918.501120138884</v>
      </c>
      <c r="B3" s="5" t="s">
        <v>16</v>
      </c>
      <c r="C3" s="5">
        <v>1233502296</v>
      </c>
      <c r="D3" s="5" t="s">
        <v>17</v>
      </c>
      <c r="E3" s="5" t="s">
        <v>14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6" t="s">
        <v>15</v>
      </c>
    </row>
    <row r="4" spans="1:12" ht="12.75" x14ac:dyDescent="0.2">
      <c r="A4" s="1">
        <v>45918.536662928236</v>
      </c>
      <c r="B4" s="2" t="s">
        <v>18</v>
      </c>
      <c r="C4" s="2">
        <v>1050607268</v>
      </c>
      <c r="D4" s="2" t="s">
        <v>19</v>
      </c>
      <c r="E4" s="2" t="s">
        <v>14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  <c r="L4" s="3" t="s">
        <v>15</v>
      </c>
    </row>
    <row r="5" spans="1:12" ht="12.75" x14ac:dyDescent="0.2">
      <c r="A5" s="4">
        <v>45918.720140243051</v>
      </c>
      <c r="B5" s="5" t="s">
        <v>20</v>
      </c>
      <c r="C5" s="5">
        <v>1075661172</v>
      </c>
      <c r="D5" s="5" t="s">
        <v>21</v>
      </c>
      <c r="E5" s="5" t="s">
        <v>14</v>
      </c>
      <c r="F5" s="5" t="s">
        <v>15</v>
      </c>
      <c r="G5" s="5" t="s">
        <v>15</v>
      </c>
      <c r="H5" s="5" t="s">
        <v>15</v>
      </c>
      <c r="I5" s="5" t="s">
        <v>14</v>
      </c>
      <c r="J5" s="5" t="s">
        <v>15</v>
      </c>
      <c r="K5" s="5" t="s">
        <v>15</v>
      </c>
      <c r="L5" s="6" t="s">
        <v>14</v>
      </c>
    </row>
    <row r="6" spans="1:12" ht="12.75" x14ac:dyDescent="0.2">
      <c r="A6" s="1">
        <v>45919.602774803236</v>
      </c>
      <c r="B6" s="2" t="s">
        <v>22</v>
      </c>
      <c r="C6" s="2">
        <v>1033784878</v>
      </c>
      <c r="D6" s="2" t="s">
        <v>23</v>
      </c>
      <c r="E6" s="2" t="s">
        <v>14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15</v>
      </c>
      <c r="L6" s="3" t="s">
        <v>15</v>
      </c>
    </row>
    <row r="7" spans="1:12" ht="12.75" x14ac:dyDescent="0.2">
      <c r="A7" s="4">
        <v>45919.959342696762</v>
      </c>
      <c r="B7" s="5" t="s">
        <v>24</v>
      </c>
      <c r="C7" s="5">
        <v>107594525</v>
      </c>
      <c r="D7" s="5" t="s">
        <v>25</v>
      </c>
      <c r="E7" s="5" t="s">
        <v>14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  <c r="K7" s="5" t="s">
        <v>15</v>
      </c>
      <c r="L7" s="6" t="s">
        <v>15</v>
      </c>
    </row>
    <row r="8" spans="1:12" ht="12.75" x14ac:dyDescent="0.2">
      <c r="A8" s="1">
        <v>45922.424468252313</v>
      </c>
      <c r="B8" s="2" t="s">
        <v>26</v>
      </c>
      <c r="C8" s="2">
        <v>1013122199</v>
      </c>
      <c r="D8" s="2" t="s">
        <v>27</v>
      </c>
      <c r="E8" s="2" t="s">
        <v>14</v>
      </c>
      <c r="F8" s="2" t="s">
        <v>15</v>
      </c>
      <c r="G8" s="2" t="s">
        <v>15</v>
      </c>
      <c r="H8" s="2" t="s">
        <v>15</v>
      </c>
      <c r="I8" s="2" t="s">
        <v>14</v>
      </c>
      <c r="J8" s="2" t="s">
        <v>15</v>
      </c>
      <c r="K8" s="2" t="s">
        <v>15</v>
      </c>
      <c r="L8" s="3" t="s">
        <v>15</v>
      </c>
    </row>
    <row r="9" spans="1:12" ht="12.75" x14ac:dyDescent="0.2">
      <c r="A9" s="4">
        <v>45922.428140960648</v>
      </c>
      <c r="B9" s="5" t="s">
        <v>28</v>
      </c>
      <c r="C9" s="5">
        <v>1001219220</v>
      </c>
      <c r="D9" s="5" t="s">
        <v>29</v>
      </c>
      <c r="E9" s="5" t="s">
        <v>14</v>
      </c>
      <c r="F9" s="5" t="s">
        <v>15</v>
      </c>
      <c r="G9" s="5" t="s">
        <v>15</v>
      </c>
      <c r="H9" s="5" t="s">
        <v>15</v>
      </c>
      <c r="I9" s="5" t="s">
        <v>15</v>
      </c>
      <c r="J9" s="5" t="s">
        <v>15</v>
      </c>
      <c r="K9" s="5" t="s">
        <v>15</v>
      </c>
      <c r="L9" s="6" t="s">
        <v>15</v>
      </c>
    </row>
    <row r="10" spans="1:12" ht="12.75" x14ac:dyDescent="0.2">
      <c r="A10" s="1">
        <v>45922.429917488422</v>
      </c>
      <c r="B10" s="2" t="s">
        <v>30</v>
      </c>
      <c r="C10" s="2">
        <v>1014185299</v>
      </c>
      <c r="D10" s="2" t="s">
        <v>31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3" t="s">
        <v>15</v>
      </c>
    </row>
    <row r="11" spans="1:12" ht="12.75" x14ac:dyDescent="0.2">
      <c r="A11" s="4">
        <v>45922.432373541669</v>
      </c>
      <c r="B11" s="5" t="s">
        <v>32</v>
      </c>
      <c r="C11" s="5">
        <v>1233489362</v>
      </c>
      <c r="D11" s="5" t="s">
        <v>33</v>
      </c>
      <c r="E11" s="5" t="s">
        <v>15</v>
      </c>
      <c r="F11" s="5" t="s">
        <v>15</v>
      </c>
      <c r="G11" s="5" t="s">
        <v>15</v>
      </c>
      <c r="H11" s="5" t="s">
        <v>15</v>
      </c>
      <c r="I11" s="5" t="s">
        <v>15</v>
      </c>
      <c r="J11" s="5" t="s">
        <v>15</v>
      </c>
      <c r="K11" s="5" t="s">
        <v>15</v>
      </c>
      <c r="L11" s="6" t="s">
        <v>15</v>
      </c>
    </row>
    <row r="12" spans="1:12" ht="12.75" x14ac:dyDescent="0.2">
      <c r="A12" s="1">
        <v>45922.432468738421</v>
      </c>
      <c r="B12" s="2" t="s">
        <v>34</v>
      </c>
      <c r="C12" s="2">
        <v>1025529671</v>
      </c>
      <c r="D12" s="2" t="s">
        <v>35</v>
      </c>
      <c r="E12" s="2" t="s">
        <v>14</v>
      </c>
      <c r="F12" s="2" t="s">
        <v>14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15</v>
      </c>
      <c r="L12" s="3" t="s">
        <v>15</v>
      </c>
    </row>
    <row r="13" spans="1:12" ht="12.75" x14ac:dyDescent="0.2">
      <c r="A13" s="4">
        <v>45922.43322673611</v>
      </c>
      <c r="B13" s="5" t="s">
        <v>36</v>
      </c>
      <c r="C13" s="5">
        <v>1066085347</v>
      </c>
      <c r="D13" s="5" t="s">
        <v>37</v>
      </c>
      <c r="E13" s="5" t="s">
        <v>14</v>
      </c>
      <c r="F13" s="5" t="s">
        <v>15</v>
      </c>
      <c r="G13" s="5" t="s">
        <v>15</v>
      </c>
      <c r="H13" s="5" t="s">
        <v>15</v>
      </c>
      <c r="I13" s="5" t="s">
        <v>14</v>
      </c>
      <c r="J13" s="5" t="s">
        <v>14</v>
      </c>
      <c r="K13" s="5" t="s">
        <v>15</v>
      </c>
      <c r="L13" s="6" t="s">
        <v>15</v>
      </c>
    </row>
    <row r="14" spans="1:12" ht="12.75" x14ac:dyDescent="0.2">
      <c r="A14" s="1">
        <v>45922.433912962966</v>
      </c>
      <c r="B14" s="2" t="s">
        <v>38</v>
      </c>
      <c r="C14" s="2">
        <v>1050606824</v>
      </c>
      <c r="D14" s="2" t="s">
        <v>39</v>
      </c>
      <c r="E14" s="2" t="s">
        <v>14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15</v>
      </c>
      <c r="K14" s="2" t="s">
        <v>15</v>
      </c>
      <c r="L14" s="3" t="s">
        <v>14</v>
      </c>
    </row>
    <row r="15" spans="1:12" ht="12.75" x14ac:dyDescent="0.2">
      <c r="A15" s="4">
        <v>45922.438754641204</v>
      </c>
      <c r="B15" s="5" t="s">
        <v>40</v>
      </c>
      <c r="C15" s="5">
        <v>1010037093</v>
      </c>
      <c r="D15" s="5" t="s">
        <v>41</v>
      </c>
      <c r="E15" s="5" t="s">
        <v>14</v>
      </c>
      <c r="F15" s="5" t="s">
        <v>15</v>
      </c>
      <c r="G15" s="5" t="s">
        <v>15</v>
      </c>
      <c r="H15" s="5" t="s">
        <v>15</v>
      </c>
      <c r="I15" s="5" t="s">
        <v>14</v>
      </c>
      <c r="J15" s="5" t="s">
        <v>15</v>
      </c>
      <c r="K15" s="5" t="s">
        <v>15</v>
      </c>
      <c r="L15" s="6" t="s">
        <v>14</v>
      </c>
    </row>
    <row r="16" spans="1:12" ht="12.75" x14ac:dyDescent="0.2">
      <c r="A16" s="1">
        <v>45922.43957574074</v>
      </c>
      <c r="B16" s="2" t="s">
        <v>14</v>
      </c>
      <c r="C16" s="2">
        <v>1023894723</v>
      </c>
      <c r="D16" s="2" t="s">
        <v>42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15</v>
      </c>
      <c r="L16" s="3" t="s">
        <v>15</v>
      </c>
    </row>
    <row r="17" spans="1:12" ht="12.75" x14ac:dyDescent="0.2">
      <c r="A17" s="4">
        <v>45922.440633217593</v>
      </c>
      <c r="B17" s="5" t="s">
        <v>43</v>
      </c>
      <c r="C17" s="5">
        <v>1014387022</v>
      </c>
      <c r="D17" s="5" t="s">
        <v>44</v>
      </c>
      <c r="E17" s="5" t="s">
        <v>14</v>
      </c>
      <c r="F17" s="5" t="s">
        <v>15</v>
      </c>
      <c r="G17" s="5" t="s">
        <v>15</v>
      </c>
      <c r="H17" s="5" t="s">
        <v>15</v>
      </c>
      <c r="I17" s="5" t="s">
        <v>15</v>
      </c>
      <c r="J17" s="5" t="s">
        <v>15</v>
      </c>
      <c r="K17" s="5" t="s">
        <v>15</v>
      </c>
      <c r="L17" s="6" t="s">
        <v>15</v>
      </c>
    </row>
    <row r="18" spans="1:12" ht="12.75" x14ac:dyDescent="0.2">
      <c r="A18" s="1">
        <v>45922.441746770834</v>
      </c>
      <c r="B18" s="2" t="s">
        <v>45</v>
      </c>
      <c r="C18" s="2">
        <v>1022357825</v>
      </c>
      <c r="D18" s="2" t="s">
        <v>46</v>
      </c>
      <c r="E18" s="2" t="s">
        <v>14</v>
      </c>
      <c r="F18" s="2" t="s">
        <v>15</v>
      </c>
      <c r="G18" s="2" t="s">
        <v>15</v>
      </c>
      <c r="H18" s="2" t="s">
        <v>15</v>
      </c>
      <c r="I18" s="2" t="s">
        <v>15</v>
      </c>
      <c r="J18" s="2" t="s">
        <v>14</v>
      </c>
      <c r="K18" s="2" t="s">
        <v>15</v>
      </c>
      <c r="L18" s="3" t="s">
        <v>15</v>
      </c>
    </row>
    <row r="19" spans="1:12" ht="12.75" x14ac:dyDescent="0.2">
      <c r="A19" s="4">
        <v>45922.446320914351</v>
      </c>
      <c r="B19" s="5" t="s">
        <v>47</v>
      </c>
      <c r="C19" s="5">
        <v>1193519780</v>
      </c>
      <c r="D19" s="5" t="s">
        <v>48</v>
      </c>
      <c r="E19" s="5" t="s">
        <v>15</v>
      </c>
      <c r="F19" s="5" t="s">
        <v>15</v>
      </c>
      <c r="G19" s="5" t="s">
        <v>15</v>
      </c>
      <c r="H19" s="5" t="s">
        <v>15</v>
      </c>
      <c r="I19" s="5" t="s">
        <v>15</v>
      </c>
      <c r="J19" s="5" t="s">
        <v>15</v>
      </c>
      <c r="K19" s="5" t="s">
        <v>15</v>
      </c>
      <c r="L19" s="6" t="s">
        <v>15</v>
      </c>
    </row>
    <row r="20" spans="1:12" ht="12.75" x14ac:dyDescent="0.2">
      <c r="A20" s="1">
        <v>45922.455339409724</v>
      </c>
      <c r="B20" s="2" t="s">
        <v>49</v>
      </c>
      <c r="C20" s="2">
        <v>1010123711</v>
      </c>
      <c r="D20" s="2" t="s">
        <v>50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15</v>
      </c>
      <c r="J20" s="2" t="s">
        <v>15</v>
      </c>
      <c r="K20" s="2" t="s">
        <v>15</v>
      </c>
      <c r="L20" s="3" t="s">
        <v>15</v>
      </c>
    </row>
    <row r="21" spans="1:12" ht="12.75" x14ac:dyDescent="0.2">
      <c r="A21" s="4">
        <v>45922.473934386573</v>
      </c>
      <c r="B21" s="5" t="s">
        <v>51</v>
      </c>
      <c r="C21" s="5">
        <v>1049616344</v>
      </c>
      <c r="D21" s="5" t="s">
        <v>52</v>
      </c>
      <c r="E21" s="5" t="s">
        <v>15</v>
      </c>
      <c r="F21" s="5" t="s">
        <v>15</v>
      </c>
      <c r="G21" s="5" t="s">
        <v>15</v>
      </c>
      <c r="H21" s="5" t="s">
        <v>15</v>
      </c>
      <c r="I21" s="5" t="s">
        <v>15</v>
      </c>
      <c r="J21" s="5" t="s">
        <v>15</v>
      </c>
      <c r="K21" s="5" t="s">
        <v>15</v>
      </c>
      <c r="L21" s="6" t="s">
        <v>15</v>
      </c>
    </row>
    <row r="22" spans="1:12" ht="12.75" x14ac:dyDescent="0.2">
      <c r="A22" s="1">
        <v>45922.497806400468</v>
      </c>
      <c r="B22" s="2" t="s">
        <v>53</v>
      </c>
      <c r="C22" s="2">
        <v>1233511548</v>
      </c>
      <c r="D22" s="2" t="s">
        <v>54</v>
      </c>
      <c r="E22" s="2" t="s">
        <v>14</v>
      </c>
      <c r="F22" s="2" t="s">
        <v>15</v>
      </c>
      <c r="G22" s="2" t="s">
        <v>15</v>
      </c>
      <c r="H22" s="2" t="s">
        <v>15</v>
      </c>
      <c r="I22" s="2" t="s">
        <v>15</v>
      </c>
      <c r="J22" s="2" t="s">
        <v>15</v>
      </c>
      <c r="K22" s="2" t="s">
        <v>15</v>
      </c>
      <c r="L22" s="3" t="s">
        <v>14</v>
      </c>
    </row>
    <row r="23" spans="1:12" ht="12.75" x14ac:dyDescent="0.2">
      <c r="A23" s="4">
        <v>45922.536668865738</v>
      </c>
      <c r="B23" s="5" t="s">
        <v>55</v>
      </c>
      <c r="C23" s="5">
        <v>1016005504</v>
      </c>
      <c r="D23" s="5" t="s">
        <v>56</v>
      </c>
      <c r="E23" s="5" t="s">
        <v>14</v>
      </c>
      <c r="F23" s="5" t="s">
        <v>15</v>
      </c>
      <c r="G23" s="5" t="s">
        <v>15</v>
      </c>
      <c r="H23" s="5" t="s">
        <v>15</v>
      </c>
      <c r="I23" s="5" t="s">
        <v>15</v>
      </c>
      <c r="J23" s="5" t="s">
        <v>15</v>
      </c>
      <c r="K23" s="5" t="s">
        <v>15</v>
      </c>
      <c r="L23" s="6" t="s">
        <v>15</v>
      </c>
    </row>
    <row r="24" spans="1:12" ht="12.75" x14ac:dyDescent="0.2">
      <c r="A24" s="1">
        <v>45922.537961678245</v>
      </c>
      <c r="B24" s="2" t="s">
        <v>57</v>
      </c>
      <c r="C24" s="2">
        <v>1110086001</v>
      </c>
      <c r="D24" s="2" t="s">
        <v>58</v>
      </c>
      <c r="E24" s="2" t="s">
        <v>15</v>
      </c>
      <c r="F24" s="2" t="s">
        <v>15</v>
      </c>
      <c r="G24" s="2" t="s">
        <v>15</v>
      </c>
      <c r="H24" s="2" t="s">
        <v>15</v>
      </c>
      <c r="I24" s="2" t="s">
        <v>15</v>
      </c>
      <c r="J24" s="2" t="s">
        <v>15</v>
      </c>
      <c r="K24" s="2" t="s">
        <v>15</v>
      </c>
      <c r="L24" s="3" t="s">
        <v>15</v>
      </c>
    </row>
    <row r="25" spans="1:12" ht="12.75" x14ac:dyDescent="0.2">
      <c r="A25" s="7">
        <v>45922.630478125</v>
      </c>
      <c r="B25" s="8" t="s">
        <v>59</v>
      </c>
      <c r="C25" s="8">
        <v>10100890463</v>
      </c>
      <c r="D25" s="8" t="s">
        <v>60</v>
      </c>
      <c r="E25" s="8" t="s">
        <v>14</v>
      </c>
      <c r="F25" s="8" t="s">
        <v>15</v>
      </c>
      <c r="G25" s="8" t="s">
        <v>15</v>
      </c>
      <c r="H25" s="8" t="s">
        <v>15</v>
      </c>
      <c r="I25" s="8" t="s">
        <v>15</v>
      </c>
      <c r="J25" s="8" t="s">
        <v>15</v>
      </c>
      <c r="K25" s="8" t="s">
        <v>15</v>
      </c>
      <c r="L25" s="9" t="s">
        <v>15</v>
      </c>
    </row>
    <row r="26" spans="1:12" ht="15.75" customHeight="1" x14ac:dyDescent="0.2">
      <c r="A26" s="19" t="s">
        <v>63</v>
      </c>
      <c r="E26">
        <f>SUBTOTAL(103,Form_Responses[¿Actualmente utiliza algún sistema digital para gestionar las citas de sus pacientes? ])</f>
        <v>24</v>
      </c>
      <c r="F26">
        <f>SUBTOTAL(103,Form_Responses[¿Considera importante que el sistema permita agendar citas en línea?])</f>
        <v>24</v>
      </c>
      <c r="G26">
        <f>SUBTOTAL(103,Form_Responses[¿Le gustaría que el sistema permita  o consultar, programar o cancelar citas fácilmente? ])</f>
        <v>24</v>
      </c>
      <c r="H26">
        <f>SUBTOTAL(103,Form_Responses[¿Necesita que el sistema integre mensaje automático de confirmación  para los pacientes? ])</f>
        <v>24</v>
      </c>
      <c r="I26">
        <f>SUBTOTAL(103,Form_Responses[¿Es importante para usted que el sistema registre el historial medico  de cada paciente? ])</f>
        <v>24</v>
      </c>
      <c r="J26">
        <f>SUBTOTAL(103,Form_Responses[¿Le gustaría que el sistema permita manejar diferentes profesionales o especialistas dentro de la misma plataforma? ])</f>
        <v>24</v>
      </c>
      <c r="K26">
        <f>SUBTOTAL(103,Form_Responses[¿Te gustaría que el software cuente con un sistema de respaldo de la información?])</f>
        <v>24</v>
      </c>
      <c r="L26">
        <f>SUBTOTAL(103,Form_Responses[¿Te gustaría que el software contara con un modulo de pagos ?])</f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75FDA-31AA-4B2D-A020-1440366BD361}">
  <dimension ref="A1:C4"/>
  <sheetViews>
    <sheetView workbookViewId="0">
      <selection sqref="A1:B4"/>
    </sheetView>
  </sheetViews>
  <sheetFormatPr baseColWidth="10" defaultRowHeight="12.75" x14ac:dyDescent="0.2"/>
  <cols>
    <col min="1" max="1" width="16.5703125" bestFit="1" customWidth="1"/>
    <col min="2" max="2" width="26.140625" customWidth="1"/>
    <col min="3" max="3" width="3.85546875" customWidth="1"/>
    <col min="4" max="4" width="11.5703125" bestFit="1" customWidth="1"/>
    <col min="5" max="5" width="25.85546875" bestFit="1" customWidth="1"/>
    <col min="6" max="6" width="19.7109375" bestFit="1" customWidth="1"/>
    <col min="7" max="7" width="13.42578125" bestFit="1" customWidth="1"/>
    <col min="8" max="8" width="22.5703125" bestFit="1" customWidth="1"/>
    <col min="9" max="9" width="11.42578125" bestFit="1" customWidth="1"/>
    <col min="10" max="10" width="28.5703125" bestFit="1" customWidth="1"/>
    <col min="11" max="11" width="25.85546875" bestFit="1" customWidth="1"/>
    <col min="12" max="12" width="28.42578125" bestFit="1" customWidth="1"/>
    <col min="13" max="13" width="17.42578125" bestFit="1" customWidth="1"/>
    <col min="14" max="14" width="12.28515625" bestFit="1" customWidth="1"/>
    <col min="15" max="15" width="15.42578125" bestFit="1" customWidth="1"/>
    <col min="16" max="16" width="25.42578125" bestFit="1" customWidth="1"/>
    <col min="17" max="17" width="14.7109375" bestFit="1" customWidth="1"/>
    <col min="18" max="18" width="25.5703125" bestFit="1" customWidth="1"/>
    <col min="19" max="19" width="17.7109375" bestFit="1" customWidth="1"/>
    <col min="20" max="20" width="3.28515625" bestFit="1" customWidth="1"/>
    <col min="21" max="21" width="14" bestFit="1" customWidth="1"/>
    <col min="22" max="22" width="16.140625" bestFit="1" customWidth="1"/>
    <col min="23" max="24" width="22.7109375" bestFit="1" customWidth="1"/>
    <col min="25" max="25" width="19" bestFit="1" customWidth="1"/>
    <col min="26" max="26" width="11.5703125" bestFit="1" customWidth="1"/>
  </cols>
  <sheetData>
    <row r="1" spans="1:2" x14ac:dyDescent="0.2">
      <c r="A1" s="15" t="s">
        <v>61</v>
      </c>
      <c r="B1" s="14" t="s">
        <v>64</v>
      </c>
    </row>
    <row r="2" spans="1:2" x14ac:dyDescent="0.2">
      <c r="A2" s="16" t="s">
        <v>14</v>
      </c>
      <c r="B2" s="20">
        <v>17</v>
      </c>
    </row>
    <row r="3" spans="1:2" x14ac:dyDescent="0.2">
      <c r="A3" s="17" t="s">
        <v>15</v>
      </c>
      <c r="B3" s="22">
        <v>7</v>
      </c>
    </row>
    <row r="4" spans="1:2" x14ac:dyDescent="0.2">
      <c r="A4" s="18" t="s">
        <v>62</v>
      </c>
      <c r="B4" s="21">
        <v>24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6777-1B49-474D-B1BA-C06B88286BDD}">
  <dimension ref="A1:B4"/>
  <sheetViews>
    <sheetView workbookViewId="0">
      <selection activeCell="I23" sqref="I23"/>
    </sheetView>
  </sheetViews>
  <sheetFormatPr baseColWidth="10" defaultRowHeight="12.75" x14ac:dyDescent="0.2"/>
  <cols>
    <col min="1" max="1" width="16.5703125" bestFit="1" customWidth="1"/>
    <col min="2" max="2" width="26.140625" bestFit="1" customWidth="1"/>
    <col min="3" max="3" width="4" customWidth="1"/>
  </cols>
  <sheetData>
    <row r="1" spans="1:2" x14ac:dyDescent="0.2">
      <c r="A1" s="15" t="s">
        <v>61</v>
      </c>
      <c r="B1" s="14" t="s">
        <v>64</v>
      </c>
    </row>
    <row r="2" spans="1:2" x14ac:dyDescent="0.2">
      <c r="A2" s="16" t="s">
        <v>14</v>
      </c>
      <c r="B2" s="20">
        <v>1</v>
      </c>
    </row>
    <row r="3" spans="1:2" x14ac:dyDescent="0.2">
      <c r="A3" s="17" t="s">
        <v>15</v>
      </c>
      <c r="B3" s="22">
        <v>23</v>
      </c>
    </row>
    <row r="4" spans="1:2" x14ac:dyDescent="0.2">
      <c r="A4" s="18" t="s">
        <v>62</v>
      </c>
      <c r="B4" s="21">
        <v>24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C2F2-F675-4473-9EB5-74626E2E3344}">
  <dimension ref="A1:B3"/>
  <sheetViews>
    <sheetView tabSelected="1" workbookViewId="0">
      <selection activeCell="Q11" sqref="Q11"/>
    </sheetView>
  </sheetViews>
  <sheetFormatPr baseColWidth="10" defaultRowHeight="12.75" x14ac:dyDescent="0.2"/>
  <cols>
    <col min="1" max="1" width="16.5703125" bestFit="1" customWidth="1"/>
    <col min="2" max="2" width="26.140625" bestFit="1" customWidth="1"/>
    <col min="3" max="3" width="3.85546875" customWidth="1"/>
  </cols>
  <sheetData>
    <row r="1" spans="1:2" x14ac:dyDescent="0.2">
      <c r="A1" s="15" t="s">
        <v>61</v>
      </c>
      <c r="B1" s="14" t="s">
        <v>64</v>
      </c>
    </row>
    <row r="2" spans="1:2" x14ac:dyDescent="0.2">
      <c r="A2" s="16" t="s">
        <v>15</v>
      </c>
      <c r="B2" s="20">
        <v>24</v>
      </c>
    </row>
    <row r="3" spans="1:2" x14ac:dyDescent="0.2">
      <c r="A3" s="18" t="s">
        <v>62</v>
      </c>
      <c r="B3" s="21">
        <v>24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8E43-AC9D-4690-A5AF-5AE9E72468E1}">
  <dimension ref="A1:B3"/>
  <sheetViews>
    <sheetView workbookViewId="0">
      <selection activeCell="L9" sqref="L9"/>
    </sheetView>
  </sheetViews>
  <sheetFormatPr baseColWidth="10" defaultRowHeight="12.75" x14ac:dyDescent="0.2"/>
  <cols>
    <col min="1" max="1" width="16.5703125" bestFit="1" customWidth="1"/>
    <col min="2" max="2" width="26.140625" bestFit="1" customWidth="1"/>
    <col min="3" max="3" width="3.85546875" customWidth="1"/>
  </cols>
  <sheetData>
    <row r="1" spans="1:2" x14ac:dyDescent="0.2">
      <c r="A1" s="15" t="s">
        <v>61</v>
      </c>
      <c r="B1" s="14" t="s">
        <v>64</v>
      </c>
    </row>
    <row r="2" spans="1:2" x14ac:dyDescent="0.2">
      <c r="A2" s="16" t="s">
        <v>15</v>
      </c>
      <c r="B2" s="20">
        <v>24</v>
      </c>
    </row>
    <row r="3" spans="1:2" x14ac:dyDescent="0.2">
      <c r="A3" s="18" t="s">
        <v>62</v>
      </c>
      <c r="B3" s="21">
        <v>24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3B3A-4C26-4B08-94A1-2583D0A18D63}">
  <dimension ref="A1:B4"/>
  <sheetViews>
    <sheetView workbookViewId="0"/>
  </sheetViews>
  <sheetFormatPr baseColWidth="10" defaultRowHeight="12.75" x14ac:dyDescent="0.2"/>
  <cols>
    <col min="1" max="1" width="16.5703125" bestFit="1" customWidth="1"/>
    <col min="2" max="2" width="26.140625" bestFit="1" customWidth="1"/>
    <col min="3" max="3" width="3.85546875" customWidth="1"/>
  </cols>
  <sheetData>
    <row r="1" spans="1:2" x14ac:dyDescent="0.2">
      <c r="A1" s="15" t="s">
        <v>61</v>
      </c>
      <c r="B1" s="14" t="s">
        <v>64</v>
      </c>
    </row>
    <row r="2" spans="1:2" x14ac:dyDescent="0.2">
      <c r="A2" s="16" t="s">
        <v>14</v>
      </c>
      <c r="B2" s="20">
        <v>4</v>
      </c>
    </row>
    <row r="3" spans="1:2" x14ac:dyDescent="0.2">
      <c r="A3" s="17" t="s">
        <v>15</v>
      </c>
      <c r="B3" s="22">
        <v>20</v>
      </c>
    </row>
    <row r="4" spans="1:2" x14ac:dyDescent="0.2">
      <c r="A4" s="18" t="s">
        <v>62</v>
      </c>
      <c r="B4" s="21">
        <v>24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7A098-EB20-424B-8951-6001AFBE5C98}">
  <dimension ref="A1:B4"/>
  <sheetViews>
    <sheetView workbookViewId="0"/>
  </sheetViews>
  <sheetFormatPr baseColWidth="10" defaultRowHeight="12.75" x14ac:dyDescent="0.2"/>
  <cols>
    <col min="1" max="1" width="16.5703125" bestFit="1" customWidth="1"/>
    <col min="2" max="2" width="26.140625" bestFit="1" customWidth="1"/>
    <col min="3" max="3" width="3.85546875" customWidth="1"/>
  </cols>
  <sheetData>
    <row r="1" spans="1:2" x14ac:dyDescent="0.2">
      <c r="A1" s="15" t="s">
        <v>61</v>
      </c>
      <c r="B1" s="14" t="s">
        <v>64</v>
      </c>
    </row>
    <row r="2" spans="1:2" x14ac:dyDescent="0.2">
      <c r="A2" s="16" t="s">
        <v>14</v>
      </c>
      <c r="B2" s="20">
        <v>2</v>
      </c>
    </row>
    <row r="3" spans="1:2" x14ac:dyDescent="0.2">
      <c r="A3" s="17" t="s">
        <v>15</v>
      </c>
      <c r="B3" s="22">
        <v>22</v>
      </c>
    </row>
    <row r="4" spans="1:2" x14ac:dyDescent="0.2">
      <c r="A4" s="18" t="s">
        <v>62</v>
      </c>
      <c r="B4" s="21">
        <v>24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474F-B4B1-4E45-974A-95BEF186A597}">
  <dimension ref="A1:B3"/>
  <sheetViews>
    <sheetView workbookViewId="0">
      <selection activeCell="N16" sqref="N16"/>
    </sheetView>
  </sheetViews>
  <sheetFormatPr baseColWidth="10" defaultRowHeight="12.75" x14ac:dyDescent="0.2"/>
  <cols>
    <col min="1" max="1" width="16.5703125" bestFit="1" customWidth="1"/>
    <col min="2" max="2" width="26.140625" bestFit="1" customWidth="1"/>
    <col min="3" max="3" width="3.85546875" customWidth="1"/>
  </cols>
  <sheetData>
    <row r="1" spans="1:2" x14ac:dyDescent="0.2">
      <c r="A1" s="15" t="s">
        <v>61</v>
      </c>
      <c r="B1" s="14" t="s">
        <v>64</v>
      </c>
    </row>
    <row r="2" spans="1:2" x14ac:dyDescent="0.2">
      <c r="A2" s="16" t="s">
        <v>15</v>
      </c>
      <c r="B2" s="20">
        <v>24</v>
      </c>
    </row>
    <row r="3" spans="1:2" x14ac:dyDescent="0.2">
      <c r="A3" s="18" t="s">
        <v>62</v>
      </c>
      <c r="B3" s="21">
        <v>24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CCFF-453F-4BB7-8E28-B6031F74DD0D}">
  <dimension ref="A1:B4"/>
  <sheetViews>
    <sheetView workbookViewId="0">
      <selection activeCell="M21" sqref="M21"/>
    </sheetView>
  </sheetViews>
  <sheetFormatPr baseColWidth="10" defaultRowHeight="12.75" x14ac:dyDescent="0.2"/>
  <cols>
    <col min="1" max="1" width="16.5703125" bestFit="1" customWidth="1"/>
    <col min="2" max="2" width="26.140625" bestFit="1" customWidth="1"/>
    <col min="3" max="3" width="3.85546875" customWidth="1"/>
  </cols>
  <sheetData>
    <row r="1" spans="1:2" x14ac:dyDescent="0.2">
      <c r="A1" s="15" t="s">
        <v>61</v>
      </c>
      <c r="B1" s="14" t="s">
        <v>64</v>
      </c>
    </row>
    <row r="2" spans="1:2" x14ac:dyDescent="0.2">
      <c r="A2" s="16" t="s">
        <v>14</v>
      </c>
      <c r="B2" s="20">
        <v>4</v>
      </c>
    </row>
    <row r="3" spans="1:2" x14ac:dyDescent="0.2">
      <c r="A3" s="17" t="s">
        <v>15</v>
      </c>
      <c r="B3" s="22">
        <v>20</v>
      </c>
    </row>
    <row r="4" spans="1:2" x14ac:dyDescent="0.2">
      <c r="A4" s="18" t="s">
        <v>62</v>
      </c>
      <c r="B4" s="21">
        <v>24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Respuestas de formulario</vt:lpstr>
      <vt:lpstr>Pregunta 1</vt:lpstr>
      <vt:lpstr>Pregunta 2</vt:lpstr>
      <vt:lpstr>Pregunta 3</vt:lpstr>
      <vt:lpstr>Pregunta 4</vt:lpstr>
      <vt:lpstr>Pregunta 5</vt:lpstr>
      <vt:lpstr>Pregunta 6</vt:lpstr>
      <vt:lpstr>Pregunta 7</vt:lpstr>
      <vt:lpstr>Pregunta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Ambiente</cp:lastModifiedBy>
  <dcterms:modified xsi:type="dcterms:W3CDTF">2025-09-24T18:46:18Z</dcterms:modified>
</cp:coreProperties>
</file>